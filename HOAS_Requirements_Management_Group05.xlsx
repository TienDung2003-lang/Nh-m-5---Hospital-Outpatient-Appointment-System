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72a4237b7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roject" sheetId="11" r:id="R0b5a7cca46ea4890"/>
    <x:sheet xmlns:r="http://schemas.openxmlformats.org/officeDocument/2006/relationships" name="02_Scenarios" sheetId="1" r:id="R93c369cb3db24c61"/>
    <x:sheet xmlns:r="http://schemas.openxmlformats.org/officeDocument/2006/relationships" name="03_Requirements" sheetId="2" r:id="R03cdebc4cf3a4dea"/>
    <x:sheet xmlns:r="http://schemas.openxmlformats.org/officeDocument/2006/relationships" name="04_BusinessRules" sheetId="3" r:id="R2f72754f76234f68"/>
    <x:sheet xmlns:r="http://schemas.openxmlformats.org/officeDocument/2006/relationships" name="05_UseCases" sheetId="4" r:id="Re6eaad6829ae40e7"/>
    <x:sheet xmlns:r="http://schemas.openxmlformats.org/officeDocument/2006/relationships" name="06_NFR" sheetId="5" r:id="Rb6e96dd12564493c"/>
    <x:sheet xmlns:r="http://schemas.openxmlformats.org/officeDocument/2006/relationships" name="07_Hazards" sheetId="6" r:id="Rb94c9c7b77e047d3"/>
    <x:sheet xmlns:r="http://schemas.openxmlformats.org/officeDocument/2006/relationships" name="08_Test" sheetId="7" r:id="R65f9911070b14279"/>
    <x:sheet xmlns:r="http://schemas.openxmlformats.org/officeDocument/2006/relationships" name="09_TestCase_Activity" sheetId="8" r:id="R2ca4e2c3ec4a4f66"/>
    <x:sheet xmlns:r="http://schemas.openxmlformats.org/officeDocument/2006/relationships" name="10_EndToEnd_Chain" sheetId="9" r:id="Rd4e5b7f60e2c49df"/>
    <x:sheet xmlns:r="http://schemas.openxmlformats.org/officeDocument/2006/relationships" name="11_Dashboard" sheetId="10" r:id="R993bfabf6c884372"/>
    <x:sheet xmlns:r="http://schemas.openxmlformats.org/officeDocument/2006/relationships" name="12_Team" sheetId="12" r:id="Rb3c627d472184dff"/>
    <x:sheet xmlns:r="http://schemas.openxmlformats.org/officeDocument/2006/relationships" name="13_Stakeholders" sheetId="13" r:id="Re2fa78cdc73448d2"/>
    <x:sheet xmlns:r="http://schemas.openxmlformats.org/officeDocument/2006/relationships" name="14_Elicitation" sheetId="14" r:id="R56bb35cc5d344de0"/>
    <x:sheet xmlns:r="http://schemas.openxmlformats.org/officeDocument/2006/relationships" name="15_Actors" sheetId="15" r:id="R01ead1a812f74c4c"/>
    <x:sheet xmlns:r="http://schemas.openxmlformats.org/officeDocument/2006/relationships" name="16_UC_MainFlow" sheetId="16" r:id="Rf970c6c834564cf4"/>
    <x:sheet xmlns:r="http://schemas.openxmlformats.org/officeDocument/2006/relationships" name="17_UC_Extensions" sheetId="17" r:id="Rafd0670d90a44d13"/>
    <x:sheet xmlns:r="http://schemas.openxmlformats.org/officeDocument/2006/relationships" name="18_StateRules" sheetId="18" r:id="R8d575325aadd4cc2"/>
    <x:sheet xmlns:r="http://schemas.openxmlformats.org/officeDocument/2006/relationships" name="19_Models" sheetId="19" r:id="Re612bbf20fb647ec"/>
    <x:sheet xmlns:r="http://schemas.openxmlformats.org/officeDocument/2006/relationships" name="20_Req_Test_Trace" sheetId="20" r:id="R6091eedb56444b93"/>
    <x:sheet xmlns:r="http://schemas.openxmlformats.org/officeDocument/2006/relationships" name="21_UC_Test_Trace" sheetId="21" r:id="Rf9005c46d0c340c3"/>
    <x:sheet xmlns:r="http://schemas.openxmlformats.org/officeDocument/2006/relationships" name="22_ChangeLog" sheetId="22" r:id="Re50543633153482e"/>
    <x:sheet xmlns:r="http://schemas.openxmlformats.org/officeDocument/2006/relationships" name="23_DecisionLog" sheetId="23" r:id="R4f9a229188e446f5"/>
    <x:sheet xmlns:r="http://schemas.openxmlformats.org/officeDocument/2006/relationships" name="24_HazardTrace" sheetId="24" r:id="R433c7b62cf37474b"/>
    <x:sheet xmlns:r="http://schemas.openxmlformats.org/officeDocument/2006/relationships" name="25_Validation" sheetId="25" r:id="Rb9bd611a06de4c3d"/>
    <x:sheet xmlns:r="http://schemas.openxmlformats.org/officeDocument/2006/relationships" name="26_Coverage" sheetId="26" r:id="Ra64d3eb38f984b48"/>
    <x:sheet xmlns:r="http://schemas.openxmlformats.org/officeDocument/2006/relationships" name="27_Prioritization" sheetId="27" r:id="R63b5b78ea11f4913"/>
    <x:sheet xmlns:r="http://schemas.openxmlformats.org/officeDocument/2006/relationships" name="28_Tools_Process" sheetId="28" r:id="Rf904b4b82eac4fea"/>
    <x:sheet xmlns:r="http://schemas.openxmlformats.org/officeDocument/2006/relationships" name="29_Submission" sheetId="29" r:id="R7b0aef3455544aa3"/>
    <x:sheet xmlns:r="http://schemas.openxmlformats.org/officeDocument/2006/relationships" name="30_Scenario_Chain" sheetId="30" r:id="R0234f87901ac469e"/>
    <x:sheet xmlns:r="http://schemas.openxmlformats.org/officeDocument/2006/relationships" name="31_TC_Execution_Flow" sheetId="31" r:id="Rf01c0a35be6648a0"/>
    <x:sheet xmlns:r="http://schemas.openxmlformats.org/officeDocument/2006/relationships" name="32_BR_Derivation" sheetId="32" r:id="R5c77fbb45f0b437d"/>
    <x:sheet xmlns:r="http://schemas.openxmlformats.org/officeDocument/2006/relationships" name="33_Data_Test_Evidence" sheetId="33" r:id="R427bca2bff01459a"/>
    <x:sheet xmlns:r="http://schemas.openxmlformats.org/officeDocument/2006/relationships" name="34_Trace_Health" sheetId="34" r:id="Re3ba7f69edcc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64E63"/>
      <x:name val="Carlito"/>
    </x:font>
    <x:font>
      <x:b/>
      <x:sz val="10"/>
      <x:color rgb="FFFFFFFF"/>
      <x:name val="Carlito"/>
    </x:font>
    <x:font>
      <x:sz val="11"/>
      <x:color rgb="FF18354A"/>
      <x:name val="Carlito"/>
    </x:font>
    <x:font>
      <x:b/>
      <x:sz val="11"/>
      <x:color rgb="FF18354A"/>
      <x:name val="Carlito"/>
    </x:font>
    <x:font>
      <x:sz val="11"/>
      <x:color rgb="FF253545"/>
      <x:name val="Carlito"/>
    </x:font>
    <x:font>
      <x:b/>
      <x:sz val="11"/>
      <x:color rgb="FF14547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51"/>
      </x:patternFill>
    </x:fill>
    <x:fill>
      <x:patternFill patternType="solid">
        <x:fgColor rgb="FFEDF6FA"/>
      </x:patternFill>
    </x:fill>
    <x:fill>
      <x:patternFill patternType="solid">
        <x:fgColor rgb="FF0F766E"/>
      </x:patternFill>
    </x:fill>
    <x:fill>
      <x:patternFill patternType="solid">
        <x:fgColor rgb="FF236389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  <x:fill>
      <x:patternFill patternType="solid">
        <x:fgColor rgb="FFDCECF5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ca87b1e4846f5" /><Relationship Type="http://schemas.openxmlformats.org/officeDocument/2006/relationships/theme" Target="/xl/theme/theme1.xml" Id="R385e427c60ce47a7" /><Relationship Type="http://schemas.openxmlformats.org/officeDocument/2006/relationships/sharedStrings" Target="/xl/sharedStrings.xml" Id="Ra649063c40674978" /><Relationship Type="http://schemas.openxmlformats.org/officeDocument/2006/relationships/worksheet" Target="/xl/worksheets/sheet1.xml" Id="R0b5a7cca46ea4890" /><Relationship Type="http://schemas.openxmlformats.org/officeDocument/2006/relationships/worksheet" Target="/xl/worksheets/sheet2.xml" Id="R93c369cb3db24c61" /><Relationship Type="http://schemas.openxmlformats.org/officeDocument/2006/relationships/worksheet" Target="/xl/worksheets/sheet3.xml" Id="R03cdebc4cf3a4dea" /><Relationship Type="http://schemas.openxmlformats.org/officeDocument/2006/relationships/worksheet" Target="/xl/worksheets/sheet4.xml" Id="R2f72754f76234f68" /><Relationship Type="http://schemas.openxmlformats.org/officeDocument/2006/relationships/worksheet" Target="/xl/worksheets/sheet5.xml" Id="Re6eaad6829ae40e7" /><Relationship Type="http://schemas.openxmlformats.org/officeDocument/2006/relationships/worksheet" Target="/xl/worksheets/sheet6.xml" Id="Rb6e96dd12564493c" /><Relationship Type="http://schemas.openxmlformats.org/officeDocument/2006/relationships/worksheet" Target="/xl/worksheets/sheet7.xml" Id="Rb94c9c7b77e047d3" /><Relationship Type="http://schemas.openxmlformats.org/officeDocument/2006/relationships/worksheet" Target="/xl/worksheets/sheet8.xml" Id="R65f9911070b14279" /><Relationship Type="http://schemas.openxmlformats.org/officeDocument/2006/relationships/worksheet" Target="/xl/worksheets/sheet9.xml" Id="R2ca4e2c3ec4a4f66" /><Relationship Type="http://schemas.openxmlformats.org/officeDocument/2006/relationships/worksheet" Target="/xl/worksheets/sheet10.xml" Id="Rd4e5b7f60e2c49df" /><Relationship Type="http://schemas.openxmlformats.org/officeDocument/2006/relationships/worksheet" Target="/xl/worksheets/sheet11.xml" Id="R993bfabf6c884372" /><Relationship Type="http://schemas.openxmlformats.org/officeDocument/2006/relationships/worksheet" Target="/xl/worksheets/sheet12.xml" Id="Rb3c627d472184dff" /><Relationship Type="http://schemas.openxmlformats.org/officeDocument/2006/relationships/worksheet" Target="/xl/worksheets/sheet13.xml" Id="Re2fa78cdc73448d2" /><Relationship Type="http://schemas.openxmlformats.org/officeDocument/2006/relationships/worksheet" Target="/xl/worksheets/sheet14.xml" Id="R56bb35cc5d344de0" /><Relationship Type="http://schemas.openxmlformats.org/officeDocument/2006/relationships/worksheet" Target="/xl/worksheets/sheet15.xml" Id="R01ead1a812f74c4c" /><Relationship Type="http://schemas.openxmlformats.org/officeDocument/2006/relationships/worksheet" Target="/xl/worksheets/sheet16.xml" Id="Rf970c6c834564cf4" /><Relationship Type="http://schemas.openxmlformats.org/officeDocument/2006/relationships/worksheet" Target="/xl/worksheets/sheet17.xml" Id="Rafd0670d90a44d13" /><Relationship Type="http://schemas.openxmlformats.org/officeDocument/2006/relationships/worksheet" Target="/xl/worksheets/sheet18.xml" Id="R8d575325aadd4cc2" /><Relationship Type="http://schemas.openxmlformats.org/officeDocument/2006/relationships/worksheet" Target="/xl/worksheets/sheet19.xml" Id="Re612bbf20fb647ec" /><Relationship Type="http://schemas.openxmlformats.org/officeDocument/2006/relationships/worksheet" Target="/xl/worksheets/sheet20.xml" Id="R6091eedb56444b93" /><Relationship Type="http://schemas.openxmlformats.org/officeDocument/2006/relationships/worksheet" Target="/xl/worksheets/sheet21.xml" Id="Rf9005c46d0c340c3" /><Relationship Type="http://schemas.openxmlformats.org/officeDocument/2006/relationships/worksheet" Target="/xl/worksheets/sheet22.xml" Id="Re50543633153482e" /><Relationship Type="http://schemas.openxmlformats.org/officeDocument/2006/relationships/worksheet" Target="/xl/worksheets/sheet23.xml" Id="R4f9a229188e446f5" /><Relationship Type="http://schemas.openxmlformats.org/officeDocument/2006/relationships/worksheet" Target="/xl/worksheets/sheet24.xml" Id="R433c7b62cf37474b" /><Relationship Type="http://schemas.openxmlformats.org/officeDocument/2006/relationships/worksheet" Target="/xl/worksheets/sheet25.xml" Id="Rb9bd611a06de4c3d" /><Relationship Type="http://schemas.openxmlformats.org/officeDocument/2006/relationships/worksheet" Target="/xl/worksheets/sheet26.xml" Id="Ra64d3eb38f984b48" /><Relationship Type="http://schemas.openxmlformats.org/officeDocument/2006/relationships/worksheet" Target="/xl/worksheets/sheet27.xml" Id="R63b5b78ea11f4913" /><Relationship Type="http://schemas.openxmlformats.org/officeDocument/2006/relationships/worksheet" Target="/xl/worksheets/sheet28.xml" Id="Rf904b4b82eac4fea" /><Relationship Type="http://schemas.openxmlformats.org/officeDocument/2006/relationships/worksheet" Target="/xl/worksheets/sheet29.xml" Id="R7b0aef3455544aa3" /><Relationship Type="http://schemas.openxmlformats.org/officeDocument/2006/relationships/worksheet" Target="/xl/worksheets/sheet30.xml" Id="R0234f87901ac469e" /><Relationship Type="http://schemas.openxmlformats.org/officeDocument/2006/relationships/worksheet" Target="/xl/worksheets/sheet31.xml" Id="Rf01c0a35be6648a0" /><Relationship Type="http://schemas.openxmlformats.org/officeDocument/2006/relationships/worksheet" Target="/xl/worksheets/sheet32.xml" Id="R5c77fbb45f0b437d" /><Relationship Type="http://schemas.openxmlformats.org/officeDocument/2006/relationships/worksheet" Target="/xl/worksheets/sheet33.xml" Id="R427bca2bff01459a" /><Relationship Type="http://schemas.openxmlformats.org/officeDocument/2006/relationships/worksheet" Target="/xl/worksheets/sheet34.xml" Id="Re3ba7f69edcc4d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7a4c968fd041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Requirements by Priority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'10_Dashboard'!$E$4:$E$6</c:f>
              <c:strCache>
                <c:ptCount val="0"/>
              </c:strCache>
            </c:strRef>
          </c:cat>
          <c:val>
            <c:numRef>
              <c:f>'10_Dashboard'!$F$4:$F$6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7a4c968fd041d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07_Test" displayName="Tbl_07_Test" ref="A3:M53" headerRowCount="1" totalsRowCount="0" totalsRowShown="0">
  <x:tableColumns count="13">
    <x:tableColumn id="1" name="Test ID"/>
    <x:tableColumn id="2" name="Test Class"/>
    <x:tableColumn id="3" name="Scenario"/>
    <x:tableColumn id="4" name="Requirement"/>
    <x:tableColumn id="5" name="Use Case"/>
    <x:tableColumn id="6" name="Test objective"/>
    <x:tableColumn id="7" name="Test approach"/>
    <x:tableColumn id="8" name="Inputs"/>
    <x:tableColumn id="9" name="Expected"/>
    <x:tableColumn id="10" name="Actual (prototype)"/>
    <x:tableColumn id="11" name="JSON / CSV"/>
    <x:tableColumn id="12" name="Evidence files"/>
    <x:tableColumn id="13" name="Lim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08_TestCase_Activity" displayName="Tbl_08_TestCase_Activity" ref="A3:S53" headerRowCount="1" totalsRowCount="0" totalsRowShown="0">
  <x:tableColumns count="19">
    <x:tableColumn id="1" name="Scenario"/>
    <x:tableColumn id="2" name="Requirement"/>
    <x:tableColumn id="3" name="Business Rules"/>
    <x:tableColumn id="4" name="Use Case"/>
    <x:tableColumn id="5" name="NFR context"/>
    <x:tableColumn id="6" name="Hazard context"/>
    <x:tableColumn id="7" name="Test Case ID"/>
    <x:tableColumn id="8" name="Test name"/>
    <x:tableColumn id="9" name="Activity / Model"/>
    <x:tableColumn id="10" name="Preconditions"/>
    <x:tableColumn id="11" name="Manual test steps"/>
    <x:tableColumn id="12" name="Code test operations"/>
    <x:tableColumn id="13" name="Assertions"/>
    <x:tableColumn id="14" name="Expected"/>
    <x:tableColumn id="15" name="Actual (prototype)"/>
    <x:tableColumn id="16" name="JSON / CSV"/>
    <x:tableColumn id="17" name="Input JSON file"/>
    <x:tableColumn id="18" name="Input CSV file"/>
    <x:tableColumn id="19" name="Evidence fi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09_EndToEnd_Chain" displayName="Tbl_09_EndToEnd_Chain" ref="A3:R53" headerRowCount="1" totalsRowCount="0" totalsRowShown="0">
  <x:tableColumns count="18">
    <x:tableColumn id="1" name="Scenario ID"/>
    <x:tableColumn id="2" name="Scenario"/>
    <x:tableColumn id="3" name="Requirement ID"/>
    <x:tableColumn id="4" name="Requirement"/>
    <x:tableColumn id="5" name="Business Rule (FR)"/>
    <x:tableColumn id="6" name="Business Rules (SC context)"/>
    <x:tableColumn id="7" name="Use Case ID"/>
    <x:tableColumn id="8" name="Use Case"/>
    <x:tableColumn id="9" name="NFR (context)"/>
    <x:tableColumn id="10" name="Hazard (context)"/>
    <x:tableColumn id="11" name="Test / Verification approach"/>
    <x:tableColumn id="12" name="Test Case ID"/>
    <x:tableColumn id="13" name="Test Case"/>
    <x:tableColumn id="14" name="Activity / Model"/>
    <x:tableColumn id="15" name="Expected"/>
    <x:tableColumn id="16" name="Actual (prototype)"/>
    <x:tableColumn id="17" name="JSON / CSV"/>
    <x:tableColumn id="18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d5ce327815ee4d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af3d6b0faac7483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4c3353eff1804c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7c3f540faa47cb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66" hidden="0" customWidth="1"/>
    <x:col min="3" max="3" width="44" hidden="0" customWidth="1"/>
  </x:cols>
  <x:sheetData>
    <x:row r="1" ht="37" customHeight="1">
      <x:c r="A1" s="4" t="str">
        <x:v>HOAS | 01_PROJECT OVERVIEW — GROUP 05</x:v>
      </x:c>
      <x:c r="B1" s="4"/>
      <x:c r="C1" s="4"/>
    </x:row>
    <x:row r="2" ht="31" customHeight="1">
      <x:c r="A2" s="10" t="str">
        <x:v>Purpose, scope, workflows, quality targets and trace links | Academic case study, not a deployed hospital system</x:v>
      </x:c>
      <x:c r="B2" s="10"/>
      <x:c r="C2" s="10"/>
    </x:row>
    <x:row r="3" ht="31" customHeight="1">
      <x:c r="A3" s="27" t="str">
        <x:v>Topic / Field</x:v>
      </x:c>
      <x:c r="B3" s="27" t="str">
        <x:v>Project detail / explanation</x:v>
      </x:c>
      <x:c r="C3" s="27" t="str">
        <x:v>Related evidence / reference</x:v>
      </x:c>
    </x:row>
    <x:row r="4" ht="27" customHeight="1">
      <x:c r="A4" s="43" t="str">
        <x:v>01 | GENERAL INFORMATION</x:v>
      </x:c>
      <x:c r="B4" s="43"/>
      <x:c r="C4" s="43"/>
    </x:row>
    <x:row r="5" ht="31" customHeight="1">
      <x:c r="A5" s="37" t="str">
        <x:v>Project name</x:v>
      </x:c>
      <x:c r="B5" s="38" t="str">
        <x:v>Hospital Outpatient Appointment System (HOAS)</x:v>
      </x:c>
      <x:c r="C5" s="38" t="str">
        <x:v>Course case study | Project ID: HOAS-2026</x:v>
      </x:c>
    </x:row>
    <x:row r="6" ht="31" customHeight="1">
      <x:c r="A6" s="39" t="str">
        <x:v>Course / institution</x:v>
      </x:c>
      <x:c r="B6" s="40" t="str">
        <x:v>CSE703095 – Software Requirements | Phenikaa University</x:v>
      </x:c>
      <x:c r="C6" s="40" t="str">
        <x:v>Group 05; four student members</x:v>
      </x:c>
    </x:row>
    <x:row r="7" ht="31" customHeight="1">
      <x:c r="A7" s="37" t="str">
        <x:v>Version / baseline</x:v>
      </x:c>
      <x:c r="B7" s="38" t="str">
        <x:v>1.0 – proposed requirements and prototype-based validation</x:v>
      </x:c>
      <x:c r="C7" s="38" t="str">
        <x:v>Original project baseline: 2026-10-15</x:v>
      </x:c>
    </x:row>
    <x:row r="8" ht="31" customHeight="1">
      <x:c r="A8" s="39" t="str">
        <x:v>Reference approach</x:v>
      </x:c>
      <x:c r="B8" s="40" t="str">
        <x:v>Scenario-based elicitation, EARS-style requirements, traceability and verification.</x:v>
      </x:c>
      <x:c r="C8" s="40" t="str">
        <x:v>Aligned to ISO/IEC/IEEE 29148:2018 (course context)</x:v>
      </x:c>
    </x:row>
    <x:row r="9" ht="27" customHeight="1">
      <x:c r="A9" s="43" t="str">
        <x:v>02 | PROBLEM, PURPOSE AND USERS</x:v>
      </x:c>
      <x:c r="B9" s="43"/>
      <x:c r="C9" s="43"/>
    </x:row>
    <x:row r="10" ht="43" customHeight="1">
      <x:c r="A10" s="37" t="str">
        <x:v>Business problem</x:v>
      </x:c>
      <x:c r="B10" s="38" t="str">
        <x:v>Manual or disconnected appointment handling can cause duplicate bookings, outdated schedules, long queues, missed notifications and unauthorized access.</x:v>
      </x:c>
      <x:c r="C10" s="38" t="str">
        <x:v>Motivation for the proposed design; no real-hospital measurements claimed</x:v>
      </x:c>
    </x:row>
    <x:row r="11" ht="43" customHeight="1">
      <x:c r="A11" s="39" t="str">
        <x:v>Project purpose</x:v>
      </x:c>
      <x:c r="B11" s="40" t="str">
        <x:v>Specify an outpatient scheduling system that coordinates patients, doctors, reception and administrators from registration through visit completion.</x:v>
      </x:c>
      <x:c r="C11" s="40" t="str">
        <x:v>Requirements-analysis project; not a deployed hospital application</x:v>
      </x:c>
    </x:row>
    <x:row r="12" ht="43" customHeight="1">
      <x:c r="A12" s="37" t="str">
        <x:v>Primary goals</x:v>
      </x:c>
      <x:c r="B12" s="38" t="str">
        <x:v>Make available slots visible; prevent overbooking; provide safe booking, cancellation and rescheduling; maintain consistent appointment states and access controls.</x:v>
      </x:c>
      <x:c r="C12" s="38" t="str">
        <x:v>See 03_Requirements and 04_BusinessRules</x:v>
      </x:c>
    </x:row>
    <x:row r="13" ht="43" customHeight="1">
      <x:c r="A13" s="39" t="str">
        <x:v>Stakeholders</x:v>
      </x:c>
      <x:c r="B13" s="40" t="str">
        <x:v>Patients; receptionists; doctors; outpatient managers; administrators; information-security officer.</x:v>
      </x:c>
      <x:c r="C13" s="40" t="str">
        <x:v>13_Stakeholders; 15_Actors</x:v>
      </x:c>
    </x:row>
    <x:row r="14" ht="43" customHeight="1">
      <x:c r="A14" s="37" t="str">
        <x:v>System boundary</x:v>
      </x:c>
      <x:c r="B14" s="38" t="str">
        <x:v>Manages appointment-related information and simulated notification events, but does not diagnose or treat patients.</x:v>
      </x:c>
      <x:c r="C14" s="38" t="str">
        <x:v>Clinical decisions remain outside scope</x:v>
      </x:c>
    </x:row>
    <x:row r="15" ht="27" customHeight="1">
      <x:c r="A15" s="43" t="str">
        <x:v>03 | SYSTEM SCOPE AND ASSUMPTIONS</x:v>
      </x:c>
      <x:c r="B15" s="43"/>
      <x:c r="C15" s="43"/>
    </x:row>
    <x:row r="16" ht="58" customHeight="1">
      <x:c r="A16" s="39" t="str">
        <x:v>Included functions</x:v>
      </x:c>
      <x:c r="B16" s="40" t="str">
        <x:v>Account registration/login; patient profiles; doctor/slot search; booking; appointment viewing; cancellation/rescheduling; reception check-in; visit status; physician schedules; notifications; basic reporting and audit.</x:v>
      </x:c>
      <x:c r="C16" s="40" t="str">
        <x:v>UC-01 to UC-12 in 05_UseCases</x:v>
      </x:c>
    </x:row>
    <x:row r="17" ht="43" customHeight="1">
      <x:c r="A17" s="37" t="str">
        <x:v>Excluded functions</x:v>
      </x:c>
      <x:c r="B17" s="38" t="str">
        <x:v>Medical diagnosis, prescriptions, electronic medical records, payments, insurance claims, emergency triage and production integration with hospital systems.</x:v>
      </x:c>
      <x:c r="C17" s="38" t="str">
        <x:v>Not covered by this course prototype</x:v>
      </x:c>
    </x:row>
    <x:row r="18" ht="43" customHeight="1">
      <x:c r="A18" s="39" t="str">
        <x:v>Core data entities</x:v>
      </x:c>
      <x:c r="B18" s="40" t="str">
        <x:v>Patient; User/Role; Doctor; Specialty; Schedule/Slot; Appointment; Visit Status; Notification Event; Audit Log.</x:v>
      </x:c>
      <x:c r="C18" s="40" t="str">
        <x:v>Conceptual information model; see 19_Models</x:v>
      </x:c>
    </x:row>
    <x:row r="19" ht="43" customHeight="1">
      <x:c r="A19" s="37" t="str">
        <x:v>Assumptions</x:v>
      </x:c>
      <x:c r="B19" s="38" t="str">
        <x:v>Preconfigured doctors, specialties and slots; a known capacity per slot; a unique patient identity; authorized staff accounts; synthetic data for demonstrations.</x:v>
      </x:c>
      <x:c r="C19" s="38" t="str">
        <x:v>Requires real-stakeholder review before real-world deployment</x:v>
      </x:c>
    </x:row>
    <x:row r="20" ht="27" customHeight="1">
      <x:c r="A20" s="43" t="str">
        <x:v>04 | MAIN BUSINESS WORKFLOW</x:v>
      </x:c>
      <x:c r="B20" s="43"/>
      <x:c r="C20" s="43"/>
    </x:row>
    <x:row r="21" ht="43" customHeight="1">
      <x:c r="A21" s="39" t="str">
        <x:v>Step 1 – Register/login</x:v>
      </x:c>
      <x:c r="B21" s="40" t="str">
        <x:v>Patient submits valid unique contact details and signs in with role-appropriate credentials; duplicates or invalid data are rejected.</x:v>
      </x:c>
      <x:c r="C21" s="40" t="str">
        <x:v>SC-15; UC-01; BR-01</x:v>
      </x:c>
    </x:row>
    <x:row r="22" ht="43" customHeight="1">
      <x:c r="A22" s="37" t="str">
        <x:v>Step 2 – Search</x:v>
      </x:c>
      <x:c r="B22" s="38" t="str">
        <x:v>Patient chooses specialty, doctor and date; system shows only eligible future, active slots with remaining capacity.</x:v>
      </x:c>
      <x:c r="C22" s="38" t="str">
        <x:v>SC-03; UC-03; BR-02</x:v>
      </x:c>
    </x:row>
    <x:row r="23" ht="43" customHeight="1">
      <x:c r="A23" s="39" t="str">
        <x:v>Step 3 – Book</x:v>
      </x:c>
      <x:c r="B23" s="40" t="str">
        <x:v>System rechecks available capacity on commit, creates one Confirmed appointment with an identifier and updates the slot atomically.</x:v>
      </x:c>
      <x:c r="C23" s="40" t="str">
        <x:v>SC-01/02; UC-04; BR-03; HZ-01</x:v>
      </x:c>
    </x:row>
    <x:row r="24" ht="43" customHeight="1">
      <x:c r="A24" s="37" t="str">
        <x:v>Step 4 – Review/change</x:v>
      </x:c>
      <x:c r="B24" s="38" t="str">
        <x:v>Patient views owned appointments, self-cancels/reschedules within the permitted window and sees an explicit rejection on invalid attempts.</x:v>
      </x:c>
      <x:c r="C24" s="38" t="str">
        <x:v>SC-04 to SC-07; UC-05/06/07; BR-04/05/10</x:v>
      </x:c>
    </x:row>
    <x:row r="25" ht="43" customHeight="1">
      <x:c r="A25" s="39" t="str">
        <x:v>Step 5 – Check-in</x:v>
      </x:c>
      <x:c r="B25" s="40" t="str">
        <x:v>Reception verifies a Confirmed appointment, checks the patient in at most once and handles exceptions through authorized staff.</x:v>
      </x:c>
      <x:c r="C25" s="40" t="str">
        <x:v>SC-08/10; UC-08; BR-06</x:v>
      </x:c>
    </x:row>
    <x:row r="26" ht="43" customHeight="1">
      <x:c r="A26" s="37" t="str">
        <x:v>Step 6 – Consultation</x:v>
      </x:c>
      <x:c r="B26" s="38" t="str">
        <x:v>Assigned doctor accesses the correct visit and changes status from Checked-in to In Progress to Completed.</x:v>
      </x:c>
      <x:c r="C26" s="38" t="str">
        <x:v>SC-11; UC-09; BR-07</x:v>
      </x:c>
    </x:row>
    <x:row r="27" ht="43" customHeight="1">
      <x:c r="A27" s="39" t="str">
        <x:v>Step 7 – Administration</x:v>
      </x:c>
      <x:c r="B27" s="40" t="str">
        <x:v>Administrator maintains physician slots, blocks overlapping configurations, handles absences and obtains state-based reports.</x:v>
      </x:c>
      <x:c r="C27" s="40" t="str">
        <x:v>SC-09/14/18; UC-10/12; BR-08/09/11</x:v>
      </x:c>
    </x:row>
    <x:row r="28" ht="43" customHeight="1">
      <x:c r="A28" s="37" t="str">
        <x:v>Step 8 – Notification</x:v>
      </x:c>
      <x:c r="B28" s="38" t="str">
        <x:v>After booking/state changes, system records a unique notification event; delivery failure queues a retry without reversing a valid appointment.</x:v>
      </x:c>
      <x:c r="C28" s="38" t="str">
        <x:v>SC-12; UC-11; BR-12</x:v>
      </x:c>
    </x:row>
    <x:row r="29" ht="27" customHeight="1">
      <x:c r="A29" s="43" t="str">
        <x:v>05 | IMPORTANT BUSINESS RULES</x:v>
      </x:c>
      <x:c r="B29" s="43"/>
      <x:c r="C29" s="43"/>
    </x:row>
    <x:row r="30" ht="31" customHeight="1">
      <x:c r="A30" s="39" t="str">
        <x:v>Slot availability</x:v>
      </x:c>
      <x:c r="B30" s="40" t="str">
        <x:v>Eligible slot = future + active + reserved count below configured capacity.</x:v>
      </x:c>
      <x:c r="C30" s="40" t="str">
        <x:v>BR-02; FR linked in 03_Requirements</x:v>
      </x:c>
    </x:row>
    <x:row r="31" ht="43" customHeight="1">
      <x:c r="A31" s="37" t="str">
        <x:v>No overbooking</x:v>
      </x:c>
      <x:c r="B31" s="38" t="str">
        <x:v>Final booking must be protected by an atomic capacity check even when several patients request the last place.</x:v>
      </x:c>
      <x:c r="C31" s="38" t="str">
        <x:v>BR-03; HZ-01; TC-015/016</x:v>
      </x:c>
    </x:row>
    <x:row r="32" ht="43" customHeight="1">
      <x:c r="A32" s="39" t="str">
        <x:v>Cancel/reschedule</x:v>
      </x:c>
      <x:c r="B32" s="40" t="str">
        <x:v>Self-service changes require at least 12 hours before the visit; rescheduling preserves the old reservation if the new allocation fails.</x:v>
      </x:c>
      <x:c r="C32" s="40" t="str">
        <x:v>BR-04/05; SC-04 to SC-07</x:v>
      </x:c>
    </x:row>
    <x:row r="33" ht="43" customHeight="1">
      <x:c r="A33" s="37" t="str">
        <x:v>Privacy/roles</x:v>
      </x:c>
      <x:c r="B33" s="38" t="str">
        <x:v>Patients can access only their own private appointment information; doctors access only assigned visits; authorized staff follow role-based permissions.</x:v>
      </x:c>
      <x:c r="C33" s="38" t="str">
        <x:v>BR-07/10; HZ-02</x:v>
      </x:c>
    </x:row>
    <x:row r="34" ht="43" customHeight="1">
      <x:c r="A34" s="39" t="str">
        <x:v>Audit/recovery</x:v>
      </x:c>
      <x:c r="B34" s="40" t="str">
        <x:v>Schedule/status changes are auditable; failed notifications must not delete successful bookings.</x:v>
      </x:c>
      <x:c r="C34" s="40" t="str">
        <x:v>BR-11/12; HZ-05/06 where applicable</x:v>
      </x:c>
    </x:row>
    <x:row r="35" ht="27" customHeight="1">
      <x:c r="A35" s="43" t="str">
        <x:v>06 | QUALITY REQUIREMENTS AND HAZARDS</x:v>
      </x:c>
      <x:c r="B35" s="43"/>
      <x:c r="C35" s="43"/>
    </x:row>
    <x:row r="36" ht="43" customHeight="1">
      <x:c r="A36" s="37" t="str">
        <x:v>Performance targets</x:v>
      </x:c>
      <x:c r="B36" s="38" t="str">
        <x:v>Proposed goals: ≥95% of slot searches within 3 s at 200 concurrent sessions; ≥95% of booking confirmations within 5 s at 100 requests/minute.</x:v>
      </x:c>
      <x:c r="C36" s="38" t="str">
        <x:v>NFR-1.1/1.2; require deployed load-test environment</x:v>
      </x:c>
    </x:row>
    <x:row r="37" ht="43" customHeight="1">
      <x:c r="A37" s="39" t="str">
        <x:v>Reliability targets</x:v>
      </x:c>
      <x:c r="B37" s="40" t="str">
        <x:v>Never create more than one Confirmed booking for capacity 1 under concurrent requests; on failed reschedule retain the original appointment.</x:v>
      </x:c>
      <x:c r="C37" s="40" t="str">
        <x:v>NFR-2.1/2.2; prototype tests cover modeled behavior only</x:v>
      </x:c>
    </x:row>
    <x:row r="38" ht="43" customHeight="1">
      <x:c r="A38" s="37" t="str">
        <x:v>Security and traceability</x:v>
      </x:c>
      <x:c r="B38" s="38" t="str">
        <x:v>Enforce access restrictions on private records, retain auditable activity and use measurable verification methods.</x:v>
      </x:c>
      <x:c r="C38" s="38" t="str">
        <x:v>06_NFR; 07_Hazards; 24_HazardTrace</x:v>
      </x:c>
    </x:row>
    <x:row r="39" ht="58" customHeight="1">
      <x:c r="A39" s="39" t="str">
        <x:v>Risk treatment</x:v>
      </x:c>
      <x:c r="B39" s="40" t="str">
        <x:v>Analyze overbooking, personal-data disclosure, invalid check-in, unhandled doctor absence and other identified risk scenarios; specify mitigations and test evidence.</x:v>
      </x:c>
      <x:c r="C39" s="40" t="str">
        <x:v>07_Hazards (6 identified hazards)</x:v>
      </x:c>
    </x:row>
    <x:row r="40" ht="27" customHeight="1">
      <x:c r="A40" s="43" t="str">
        <x:v>07 | REQUIREMENTS-TO-TEST TRACEABILITY</x:v>
      </x:c>
      <x:c r="B40" s="43"/>
      <x:c r="C40" s="43"/>
    </x:row>
    <x:row r="41" ht="43" customHeight="1">
      <x:c r="A41" s="37" t="str">
        <x:v>Traceability chain</x:v>
      </x:c>
      <x:c r="B41" s="38" t="str">
        <x:v>Business Scenario → Functional Requirement (FR) → Business Rule (BR) → Use Case (UC) → Non-functional Requirement (NFR) → Hazard → Test → Test Case / Activity.</x:v>
      </x:c>
      <x:c r="C41" s="38" t="str">
        <x:v>10_EndToEnd_Chain; 30_Scenario_Chain</x:v>
      </x:c>
    </x:row>
    <x:row r="42" ht="43" customHeight="1">
      <x:c r="A42" s="39" t="str">
        <x:v>Requirements artifacts</x:v>
      </x:c>
      <x:c r="B42" s="40" t="str">
        <x:v>18 scenarios; 30 FR; 12 BR; 12 use cases; 10 NFR; 6 hazard scenarios; 50 designed test cases.</x:v>
      </x:c>
      <x:c r="C42" s="40" t="str">
        <x:v>01 to 09 main sheets; quantities describe this submission</x:v>
      </x:c>
    </x:row>
    <x:row r="43" ht="43" customHeight="1">
      <x:c r="A43" s="37" t="str">
        <x:v>Input/test workflow</x:v>
      </x:c>
      <x:c r="B43" s="38" t="str">
        <x:v>Select TC ID → read matching JSON/CSV input → execute Python domain-model behavior → compare expected and actual → record PASS/FAIL and evidence.</x:v>
      </x:c>
      <x:c r="C43" s="38" t="str">
        <x:v>08_Test; 09_TestCase_Activity; 31_TC_Execution_Flow; 33_Data_Test_Evidence</x:v>
      </x:c>
    </x:row>
    <x:row r="44" ht="43" customHeight="1">
      <x:c r="A44" s="39" t="str">
        <x:v>Execution evidence</x:v>
      </x:c>
      <x:c r="B44" s="40" t="str">
        <x:v>All 50 mapped cases passed with JSON inputs and with CSV inputs in the simulated Python model.</x:v>
      </x:c>
      <x:c r="C44" s="40" t="str">
        <x:v>Not proof of production NFR compliance or hospital UAT</x:v>
      </x:c>
    </x:row>
    <x:row r="45" ht="43" customHeight="1">
      <x:c r="A45" s="37" t="str">
        <x:v>Validation status</x:v>
      </x:c>
      <x:c r="B45" s="38" t="str">
        <x:v>Scenario walkthroughs and stakeholder feedback are simulated; no real hospital acceptance, deployment or clinical testing has taken place.</x:v>
      </x:c>
      <x:c r="C45" s="38" t="str">
        <x:v>25_Validation; 11_Dashboard</x:v>
      </x:c>
    </x:row>
    <x:row r="46" ht="27" customHeight="1">
      <x:c r="A46" s="43" t="str">
        <x:v>08 | DELIVERABLES AND NEXT STEPS</x:v>
      </x:c>
      <x:c r="B46" s="43"/>
      <x:c r="C46" s="43"/>
    </x:row>
    <x:row r="47" ht="43" customHeight="1">
      <x:c r="A47" s="39" t="str">
        <x:v>Deliverables</x:v>
      </x:c>
      <x:c r="B47" s="40" t="str">
        <x:v>Excel requirements/traceability workbook; SRS/report and use-case descriptions; editable activity/UML diagrams; Python prototype; test data and test outputs.</x:v>
      </x:c>
      <x:c r="C47" s="40" t="str">
        <x:v>See supporting files in the submission ZIP</x:v>
      </x:c>
    </x:row>
    <x:row r="48" ht="43" customHeight="1">
      <x:c r="A48" s="37" t="str">
        <x:v>Suggested demonstration</x:v>
      </x:c>
      <x:c r="B48" s="38" t="str">
        <x:v>Open this Project sheet → follow 02_Scenarios through 10_EndToEnd_Chain → show one linked test → run a CSV/JSON test and discuss expected vs actual.</x:v>
      </x:c>
      <x:c r="C48" s="38" t="str">
        <x:v>Useful for classroom presentation / oral defense</x:v>
      </x:c>
    </x:row>
    <x:row r="49" ht="43" customHeight="1">
      <x:c r="A49" s="39" t="str">
        <x:v>Future validation</x:v>
      </x:c>
      <x:c r="B49" s="40" t="str">
        <x:v>Confirm policies with real stakeholders, test in a deployed staging environment, assess privacy/security and validate hospital integration before adoption.</x:v>
      </x:c>
      <x:c r="C49" s="40" t="str">
        <x:v>Outside current coursework</x:v>
      </x:c>
    </x:row>
  </x:sheetData>
  <x:mergeCells>
    <x:mergeCell ref="A1:C1"/>
    <x:mergeCell ref="A2:C2"/>
    <x:mergeCell ref="A4:C4"/>
    <x:mergeCell ref="A9:C9"/>
    <x:mergeCell ref="A15:C15"/>
    <x:mergeCell ref="A20:C20"/>
    <x:mergeCell ref="A29:C29"/>
    <x:mergeCell ref="A35:C35"/>
    <x:mergeCell ref="A40:C40"/>
    <x:mergeCell ref="A46:C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5" customHeight="1">
      <x:c r="A1" s="4" t="str">
        <x:v>HOAS | 02_Scenarios</x:v>
      </x:c>
      <x:c r="B1" s="4"/>
      <x:c r="C1" s="4"/>
      <x:c r="D1" s="4"/>
      <x:c r="E1" s="4"/>
      <x:c r="F1" s="4"/>
    </x:row>
    <x:row r="2" ht="30" customHeight="1">
      <x:c r="A2" s="10" t="str">
        <x:v>STEP 1/8 | Eighteen illustrative business scenarios; synthetic examples, not real patients</x:v>
      </x:c>
      <x:c r="B2" s="10"/>
      <x:c r="C2" s="10"/>
      <x:c r="D2" s="10"/>
      <x:c r="E2" s="10"/>
      <x:c r="F2" s="10"/>
    </x:row>
    <x:row r="3" ht="38" customHeight="1">
      <x:c r="A3" s="17" t="str">
        <x:v>Scenario ID</x:v>
      </x:c>
      <x:c r="B3" s="17" t="str">
        <x:v>Title</x:v>
      </x:c>
      <x:c r="C3" s="17" t="str">
        <x:v>Actor</x:v>
      </x:c>
      <x:c r="D3" s="17" t="str">
        <x:v>Narrative / outcome</x:v>
      </x:c>
      <x:c r="E3" s="17" t="str">
        <x:v>Use Cases</x:v>
      </x:c>
      <x:c r="F3" s="17" t="str">
        <x:v>Type</x:v>
      </x:c>
    </x:row>
    <x:row r="4" ht="41" customHeight="1">
      <x:c r="A4" s="22" t="str">
        <x:v>SC-01</x:v>
      </x:c>
      <x:c r="B4" s="22" t="str">
        <x:v>Successful Appointment Booking</x:v>
      </x:c>
      <x:c r="C4" s="22" t="str">
        <x:v>Patient</x:v>
      </x:c>
      <x:c r="D4" s="22" t="str">
        <x:v>The patient selects Gastroenterology, a doctor and the available 09:00 slot; a Confirmed appointment with a code is created.</x:v>
      </x:c>
      <x:c r="E4" s="22" t="str">
        <x:v>UC-03; UC-04</x:v>
      </x:c>
      <x:c r="F4" s="22" t="str">
        <x:v>Positive</x:v>
      </x:c>
    </x:row>
    <x:row r="5" ht="41" customHeight="1">
      <x:c r="A5" s="22" t="str">
        <x:v>SC-02</x:v>
      </x:c>
      <x:c r="B5" s="22" t="str">
        <x:v>Concurrent Requests for the Last Place</x:v>
      </x:c>
      <x:c r="C5" s="22" t="str">
        <x:v>2 patients</x:v>
      </x:c>
      <x:c r="D5" s="22" t="str">
        <x:v>Two patients attempt to reserve the same last place; exactly one booking succeeds.</x:v>
      </x:c>
      <x:c r="E5" s="22" t="str">
        <x:v>UC-04</x:v>
      </x:c>
      <x:c r="F5" s="22" t="str">
        <x:v>Concurrency</x:v>
      </x:c>
    </x:row>
    <x:row r="6" ht="41" customHeight="1">
      <x:c r="A6" s="22" t="str">
        <x:v>SC-03</x:v>
      </x:c>
      <x:c r="B6" s="22" t="str">
        <x:v>No Appointment Slots Available</x:v>
      </x:c>
      <x:c r="C6" s="22" t="str">
        <x:v>Patient</x:v>
      </x:c>
      <x:c r="D6" s="22" t="str">
        <x:v>The system reports that no place remains and suggests an alternative date without creating an invalid booking.</x:v>
      </x:c>
      <x:c r="E6" s="22" t="str">
        <x:v>UC-03</x:v>
      </x:c>
      <x:c r="F6" s="22" t="str">
        <x:v>Alternate</x:v>
      </x:c>
    </x:row>
    <x:row r="7" ht="41" customHeight="1">
      <x:c r="A7" s="22" t="str">
        <x:v>SC-04</x:v>
      </x:c>
      <x:c r="B7" s="22" t="str">
        <x:v>Cancellation Before the Deadline</x:v>
      </x:c>
      <x:c r="C7" s="22" t="str">
        <x:v>Patient</x:v>
      </x:c>
      <x:c r="D7" s="22" t="str">
        <x:v>The patient cancels at least 12 hours in advance; exactly one place is released.</x:v>
      </x:c>
      <x:c r="E7" s="22" t="str">
        <x:v>UC-06</x:v>
      </x:c>
      <x:c r="F7" s="22" t="str">
        <x:v>Positive</x:v>
      </x:c>
    </x:row>
    <x:row r="8" ht="41" customHeight="1">
      <x:c r="A8" s="22" t="str">
        <x:v>SC-05</x:v>
      </x:c>
      <x:c r="B8" s="22" t="str">
        <x:v>Late Cancellation Attempt</x:v>
      </x:c>
      <x:c r="C8" s="22" t="str">
        <x:v>Patient</x:v>
      </x:c>
      <x:c r="D8" s="22" t="str">
        <x:v>With only three hours remaining, self-service cancellation is denied and the patient is referred to reception.</x:v>
      </x:c>
      <x:c r="E8" s="22" t="str">
        <x:v>UC-06</x:v>
      </x:c>
      <x:c r="F8" s="22" t="str">
        <x:v>Negative</x:v>
      </x:c>
    </x:row>
    <x:row r="9" ht="41" customHeight="1">
      <x:c r="A9" s="22" t="str">
        <x:v>SC-06</x:v>
      </x:c>
      <x:c r="B9" s="22" t="str">
        <x:v>Successful Appointment Rescheduling</x:v>
      </x:c>
      <x:c r="C9" s="22" t="str">
        <x:v>Patient</x:v>
      </x:c>
      <x:c r="D9" s="22" t="str">
        <x:v>The original slot is released and a new slot reserved within the permitted window without duplicating the booking.</x:v>
      </x:c>
      <x:c r="E9" s="22" t="str">
        <x:v>UC-07</x:v>
      </x:c>
      <x:c r="F9" s="22" t="str">
        <x:v>Positive</x:v>
      </x:c>
    </x:row>
    <x:row r="10" ht="41" customHeight="1">
      <x:c r="A10" s="22" t="str">
        <x:v>SC-07</x:v>
      </x:c>
      <x:c r="B10" s="22" t="str">
        <x:v>New Slot Is Full During Rescheduling</x:v>
      </x:c>
      <x:c r="C10" s="22" t="str">
        <x:v>Patient</x:v>
      </x:c>
      <x:c r="D10" s="22" t="str">
        <x:v>The patient’s original appointment and slot reservation are preserved.</x:v>
      </x:c>
      <x:c r="E10" s="22" t="str">
        <x:v>UC-07</x:v>
      </x:c>
      <x:c r="F10" s="22" t="str">
        <x:v>Negative</x:v>
      </x:c>
    </x:row>
    <x:row r="11" ht="41" customHeight="1">
      <x:c r="A11" s="22" t="str">
        <x:v>SC-08</x:v>
      </x:c>
      <x:c r="B11" s="22" t="str">
        <x:v>Patient Arrival and Check-in</x:v>
      </x:c>
      <x:c r="C11" s="22" t="str">
        <x:v>Receptionist</x:v>
      </x:c>
      <x:c r="D11" s="22" t="str">
        <x:v>Reception verifies the appointment ID and records exactly one successful check-in.</x:v>
      </x:c>
      <x:c r="E11" s="22" t="str">
        <x:v>UC-08</x:v>
      </x:c>
      <x:c r="F11" s="22" t="str">
        <x:v>Positive</x:v>
      </x:c>
    </x:row>
    <x:row r="12" ht="41" customHeight="1">
      <x:c r="A12" s="22" t="str">
        <x:v>SC-09</x:v>
      </x:c>
      <x:c r="B12" s="22" t="str">
        <x:v>Unexpected Physician Absence</x:v>
      </x:c>
      <x:c r="C12" s="22" t="str">
        <x:v>Administrator</x:v>
      </x:c>
      <x:c r="D12" s="22" t="str">
        <x:v>The administrator suspends an affected slot and flags bookings for staff handling.</x:v>
      </x:c>
      <x:c r="E12" s="22" t="str">
        <x:v>UC-10</x:v>
      </x:c>
      <x:c r="F12" s="22" t="str">
        <x:v>Exceptional</x:v>
      </x:c>
    </x:row>
    <x:row r="13" ht="41" customHeight="1">
      <x:c r="A13" s="22" t="str">
        <x:v>SC-10</x:v>
      </x:c>
      <x:c r="B13" s="22" t="str">
        <x:v>Patient Arrives Late</x:v>
      </x:c>
      <x:c r="C13" s="22" t="str">
        <x:v>Receptionist</x:v>
      </x:c>
      <x:c r="D13" s="22" t="str">
        <x:v>An authorized receptionist applies the hospital exception policy without automatically setting Completed status.</x:v>
      </x:c>
      <x:c r="E13" s="22" t="str">
        <x:v>UC-08</x:v>
      </x:c>
      <x:c r="F13" s="22" t="str">
        <x:v>Exceptional</x:v>
      </x:c>
    </x:row>
    <x:row r="14" ht="41" customHeight="1">
      <x:c r="A14" s="22" t="str">
        <x:v>SC-11</x:v>
      </x:c>
      <x:c r="B14" s="22" t="str">
        <x:v>Doctor Updates Consultation Progress</x:v>
      </x:c>
      <x:c r="C14" s="22" t="str">
        <x:v>Doctor</x:v>
      </x:c>
      <x:c r="D14" s="22" t="str">
        <x:v>Appointment status transitions from Checked-in to In Progress to Completed.</x:v>
      </x:c>
      <x:c r="E14" s="22" t="str">
        <x:v>UC-09</x:v>
      </x:c>
      <x:c r="F14" s="22" t="str">
        <x:v>Positive</x:v>
      </x:c>
    </x:row>
    <x:row r="15" ht="41" customHeight="1">
      <x:c r="A15" s="22" t="str">
        <x:v>SC-12</x:v>
      </x:c>
      <x:c r="B15" s="22" t="str">
        <x:v>Notification Provider Outage</x:v>
      </x:c>
      <x:c r="C15" s="22" t="str">
        <x:v>Notification Service</x:v>
      </x:c>
      <x:c r="D15" s="22" t="str">
        <x:v>Confirmed appointment remains unchanged while the system queues an outbox retry.</x:v>
      </x:c>
      <x:c r="E15" s="22" t="str">
        <x:v>UC-11</x:v>
      </x:c>
      <x:c r="F15" s="22" t="str">
        <x:v>Failure</x:v>
      </x:c>
    </x:row>
    <x:row r="16" ht="41" customHeight="1">
      <x:c r="A16" s="22" t="str">
        <x:v>SC-13</x:v>
      </x:c>
      <x:c r="B16" s="22" t="str">
        <x:v>Unauthorized Appointment Access</x:v>
      </x:c>
      <x:c r="C16" s="22" t="str">
        <x:v>Unauthorized user</x:v>
      </x:c>
      <x:c r="D16" s="22" t="str">
        <x:v>A user cannot read another patient’s appointment; denied attempts may be audited.</x:v>
      </x:c>
      <x:c r="E16" s="22" t="str">
        <x:v>UC-05; UC-12</x:v>
      </x:c>
      <x:c r="F16" s="22" t="str">
        <x:v>Security</x:v>
      </x:c>
    </x:row>
    <x:row r="17" ht="41" customHeight="1">
      <x:c r="A17" s="22" t="str">
        <x:v>SC-14</x:v>
      </x:c>
      <x:c r="B17" s="22" t="str">
        <x:v>Administrator Reviews Appointment Counts</x:v>
      </x:c>
      <x:c r="C17" s="22" t="str">
        <x:v>Administrator</x:v>
      </x:c>
      <x:c r="D17" s="22" t="str">
        <x:v>An authorized administrator receives a summary by appointment state.</x:v>
      </x:c>
      <x:c r="E17" s="22" t="str">
        <x:v>UC-12</x:v>
      </x:c>
      <x:c r="F17" s="22" t="str">
        <x:v>Positive</x:v>
      </x:c>
    </x:row>
    <x:row r="18" ht="41" customHeight="1">
      <x:c r="A18" s="22" t="str">
        <x:v>SC-15</x:v>
      </x:c>
      <x:c r="B18" s="22" t="str">
        <x:v>Patient Registration and Secure Sign-in</x:v>
      </x:c>
      <x:c r="C18" s="22" t="str">
        <x:v>Patient</x:v>
      </x:c>
      <x:c r="D18" s="22" t="str">
        <x:v>A new patient registers with complete unique contact information, signs in with valid credentials, and invalid or duplicate submissions are rejected.</x:v>
      </x:c>
      <x:c r="E18" s="22" t="str">
        <x:v>UC-01</x:v>
      </x:c>
      <x:c r="F18" s="22" t="str">
        <x:v>Positive/Negative</x:v>
      </x:c>
    </x:row>
    <x:row r="19" ht="41" customHeight="1">
      <x:c r="A19" s="22" t="str">
        <x:v>SC-16</x:v>
      </x:c>
      <x:c r="B19" s="22" t="str">
        <x:v>Patient Views and Updates Own Profile</x:v>
      </x:c>
      <x:c r="C19" s="22" t="str">
        <x:v>Patient</x:v>
      </x:c>
      <x:c r="D19" s="22" t="str">
        <x:v>An authenticated patient views their own information, updates an address, and cannot save malformed or duplicated contact details.</x:v>
      </x:c>
      <x:c r="E19" s="22" t="str">
        <x:v>UC-02</x:v>
      </x:c>
      <x:c r="F19" s="22" t="str">
        <x:v>Positive/Negative</x:v>
      </x:c>
    </x:row>
    <x:row r="20" ht="41" customHeight="1">
      <x:c r="A20" s="22" t="str">
        <x:v>SC-17</x:v>
      </x:c>
      <x:c r="B20" s="22" t="str">
        <x:v>Patient Reviews a Booking and Privacy Boundary</x:v>
      </x:c>
      <x:c r="C20" s="22" t="str">
        <x:v>Patient</x:v>
      </x:c>
      <x:c r="D20" s="22" t="str">
        <x:v>The owner can list and review appointment details; unrelated patients may not read private bookings.</x:v>
      </x:c>
      <x:c r="E20" s="22" t="str">
        <x:v>UC-05</x:v>
      </x:c>
      <x:c r="F20" s="22" t="str">
        <x:v>Positive/Security</x:v>
      </x:c>
    </x:row>
    <x:row r="21" ht="41" customHeight="1">
      <x:c r="A21" s="22" t="str">
        <x:v>SC-18</x:v>
      </x:c>
      <x:c r="B21" s="22" t="str">
        <x:v>Administrator Creates and Audits Physician Slots</x:v>
      </x:c>
      <x:c r="C21" s="22" t="str">
        <x:v>Administrator</x:v>
      </x:c>
      <x:c r="D21" s="22" t="str">
        <x:v>An administrator creates valid slots, is blocked from configuring overlapping slots for the same physician, and preserves an auditable schedule-change record.</x:v>
      </x:c>
      <x:c r="E21" s="22" t="str">
        <x:v>UC-10</x:v>
      </x:c>
      <x:c r="F21" s="22" t="str">
        <x:v>Positive/Negative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5" customHeight="1">
      <x:c r="A1" s="4" t="str">
        <x:v>HOAS | 03_Requirements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10" t="str">
        <x:v>STEP 2/8 | Thirty functional requirements with EARS-style statements and acceptance criteria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38" customHeight="1">
      <x:c r="A3" s="17" t="str">
        <x:v>Req ID</x:v>
      </x:c>
      <x:c r="B3" s="17" t="str">
        <x:v>Title</x:v>
      </x:c>
      <x:c r="C3" s="17" t="str">
        <x:v>EARS Statement</x:v>
      </x:c>
      <x:c r="D3" s="17" t="str">
        <x:v>Acceptance Criteria</x:v>
      </x:c>
      <x:c r="E3" s="17" t="str">
        <x:v>Priority</x:v>
      </x:c>
      <x:c r="F3" s="17" t="str">
        <x:v>Stakeholder</x:v>
      </x:c>
      <x:c r="G3" s="17" t="str">
        <x:v>Related UC</x:v>
      </x:c>
      <x:c r="H3" s="17" t="str">
        <x:v>Business Rule</x:v>
      </x:c>
      <x:c r="I3" s="17" t="str">
        <x:v>Status</x:v>
      </x:c>
      <x:c r="J3" s="17" t="str">
        <x:v>Owner</x:v>
      </x:c>
      <x:c r="K3" s="17" t="str">
        <x:v>Verification</x:v>
      </x:c>
    </x:row>
    <x:row r="4" ht="41" customHeight="1">
      <x:c r="A4" s="22" t="str">
        <x:v>FR-1.1.1</x:v>
      </x:c>
      <x:c r="B4" s="22" t="str">
        <x:v>Unique Patient Registration</x:v>
      </x:c>
      <x:c r="C4" s="22" t="str">
        <x:v>When a patient submits required account details, the system shall create one patient account if the contact identifier is unique.</x:v>
      </x:c>
      <x:c r="D4" s="22" t="str">
        <x:v>Accept valid unique registration; do not create a duplicate account</x:v>
      </x:c>
      <x:c r="E4" s="22" t="str">
        <x:v>Must</x:v>
      </x:c>
      <x:c r="F4" s="22" t="str">
        <x:v>STK-01</x:v>
      </x:c>
      <x:c r="G4" s="22" t="str">
        <x:v>UC-01</x:v>
      </x:c>
      <x:c r="H4" s="22" t="str">
        <x:v>BR-01</x:v>
      </x:c>
      <x:c r="I4" s="22" t="str">
        <x:v>Proposed (case study)</x:v>
      </x:c>
      <x:c r="J4" s="22" t="str">
        <x:v>Vuong Nguyen Manh Kien</x:v>
      </x:c>
      <x:c r="K4" s="22" t="str">
        <x:v>Test/Inspection</x:v>
      </x:c>
    </x:row>
    <x:row r="5" ht="41" customHeight="1">
      <x:c r="A5" s="22" t="str">
        <x:v>FR-1.1.2</x:v>
      </x:c>
      <x:c r="B5" s="22" t="str">
        <x:v>Validate Registration Details</x:v>
      </x:c>
      <x:c r="C5" s="22" t="str">
        <x:v>When patient registration data are incomplete or duplicated, the system shall reject the submission and identify invalid fields.</x:v>
      </x:c>
      <x:c r="D5" s="22" t="str">
        <x:v>No new account is created with incomplete or duplicate registration details</x:v>
      </x:c>
      <x:c r="E5" s="22" t="str">
        <x:v>Must</x:v>
      </x:c>
      <x:c r="F5" s="22" t="str">
        <x:v>STK-01</x:v>
      </x:c>
      <x:c r="G5" s="22" t="str">
        <x:v>UC-01</x:v>
      </x:c>
      <x:c r="H5" s="22" t="str">
        <x:v>BR-01</x:v>
      </x:c>
      <x:c r="I5" s="22" t="str">
        <x:v>Proposed (case study)</x:v>
      </x:c>
      <x:c r="J5" s="22" t="str">
        <x:v>Vuong Nguyen Manh Kien</x:v>
      </x:c>
      <x:c r="K5" s="22" t="str">
        <x:v>Test/Inspection</x:v>
      </x:c>
    </x:row>
    <x:row r="6" ht="41" customHeight="1">
      <x:c r="A6" s="22" t="str">
        <x:v>FR-1.1.3</x:v>
      </x:c>
      <x:c r="B6" s="22" t="str">
        <x:v>Role-Based Sign-In</x:v>
      </x:c>
      <x:c r="C6" s="22" t="str">
        <x:v>When an existing user supplies valid credentials, the system shall create an authenticated session for the matching role.</x:v>
      </x:c>
      <x:c r="D6" s="22" t="str">
        <x:v>Valid credentials create a session; invalid credentials do not</x:v>
      </x:c>
      <x:c r="E6" s="22" t="str">
        <x:v>Must</x:v>
      </x:c>
      <x:c r="F6" s="22" t="str">
        <x:v>STK-05</x:v>
      </x:c>
      <x:c r="G6" s="22" t="str">
        <x:v>UC-01</x:v>
      </x:c>
      <x:c r="H6" s="22" t="str">
        <x:v>BR-01</x:v>
      </x:c>
      <x:c r="I6" s="22" t="str">
        <x:v>Proposed (case study)</x:v>
      </x:c>
      <x:c r="J6" s="22" t="str">
        <x:v>Vuong Nguyen Manh Kien</x:v>
      </x:c>
      <x:c r="K6" s="22" t="str">
        <x:v>Test/Inspection</x:v>
      </x:c>
    </x:row>
    <x:row r="7" ht="41" customHeight="1">
      <x:c r="A7" s="22" t="str">
        <x:v>FR-2.1.1</x:v>
      </x:c>
      <x:c r="B7" s="22" t="str">
        <x:v>View Own Profile</x:v>
      </x:c>
      <x:c r="C7" s="22" t="str">
        <x:v>When a patient views the profile, the system shall display their registered non-sensitive profile fields.</x:v>
      </x:c>
      <x:c r="D7" s="22" t="str">
        <x:v>Patient A cannot view patient B’s personal profile</x:v>
      </x:c>
      <x:c r="E7" s="22" t="str">
        <x:v>Should</x:v>
      </x:c>
      <x:c r="F7" s="22" t="str">
        <x:v>STK-01</x:v>
      </x:c>
      <x:c r="G7" s="22" t="str">
        <x:v>UC-02</x:v>
      </x:c>
      <x:c r="H7" s="22" t="str">
        <x:v>BR-10</x:v>
      </x:c>
      <x:c r="I7" s="22" t="str">
        <x:v>Proposed (case study)</x:v>
      </x:c>
      <x:c r="J7" s="22" t="str">
        <x:v>Vuong Nguyen Manh Kien</x:v>
      </x:c>
      <x:c r="K7" s="22" t="str">
        <x:v>Test/Inspection</x:v>
      </x:c>
    </x:row>
    <x:row r="8" ht="41" customHeight="1">
      <x:c r="A8" s="22" t="str">
        <x:v>FR-2.1.2</x:v>
      </x:c>
      <x:c r="B8" s="22" t="str">
        <x:v>Update Own Profile</x:v>
      </x:c>
      <x:c r="C8" s="22" t="str">
        <x:v>When a patient edits a permitted profile field, the system shall validate and persist it or preserve the previous value on failure.</x:v>
      </x:c>
      <x:c r="D8" s="22" t="str">
        <x:v>Valid updates persist; invalid updates preserve original values</x:v>
      </x:c>
      <x:c r="E8" s="22" t="str">
        <x:v>Should</x:v>
      </x:c>
      <x:c r="F8" s="22" t="str">
        <x:v>STK-01</x:v>
      </x:c>
      <x:c r="G8" s="22" t="str">
        <x:v>UC-02</x:v>
      </x:c>
      <x:c r="H8" s="22" t="str">
        <x:v>BR-10</x:v>
      </x:c>
      <x:c r="I8" s="22" t="str">
        <x:v>Proposed (case study)</x:v>
      </x:c>
      <x:c r="J8" s="22" t="str">
        <x:v>Vuong Nguyen Manh Kien</x:v>
      </x:c>
      <x:c r="K8" s="22" t="str">
        <x:v>Test/Inspection</x:v>
      </x:c>
    </x:row>
    <x:row r="9" ht="41" customHeight="1">
      <x:c r="A9" s="22" t="str">
        <x:v>FR-3.1.1</x:v>
      </x:c>
      <x:c r="B9" s="22" t="str">
        <x:v>Search by Specialty</x:v>
      </x:c>
      <x:c r="C9" s="22" t="str">
        <x:v>When a patient selects a specialty, the system shall list doctors assigned to that specialty.</x:v>
      </x:c>
      <x:c r="D9" s="22" t="str">
        <x:v>Only doctors assigned to the selected specialty are returned</x:v>
      </x:c>
      <x:c r="E9" s="22" t="str">
        <x:v>Must</x:v>
      </x:c>
      <x:c r="F9" s="22" t="str">
        <x:v>STK-01</x:v>
      </x:c>
      <x:c r="G9" s="22" t="str">
        <x:v>UC-03</x:v>
      </x:c>
      <x:c r="H9" s="22" t="str">
        <x:v>BR-02</x:v>
      </x:c>
      <x:c r="I9" s="22" t="str">
        <x:v>Proposed (case study)</x:v>
      </x:c>
      <x:c r="J9" s="22" t="str">
        <x:v>Vuong Nguyen Manh Kien</x:v>
      </x:c>
      <x:c r="K9" s="22" t="str">
        <x:v>Test/Inspection</x:v>
      </x:c>
    </x:row>
    <x:row r="10" ht="41" customHeight="1">
      <x:c r="A10" s="22" t="str">
        <x:v>FR-3.1.2</x:v>
      </x:c>
      <x:c r="B10" s="22" t="str">
        <x:v>Show Available Slots</x:v>
      </x:c>
      <x:c r="C10" s="22" t="str">
        <x:v>When a date and doctor are selected, the system shall show only non-suspended future appointment slots with remaining capacity.</x:v>
      </x:c>
      <x:c r="D10" s="22" t="str">
        <x:v>Past, suspended and fully booked slots are excluded</x:v>
      </x:c>
      <x:c r="E10" s="22" t="str">
        <x:v>Must</x:v>
      </x:c>
      <x:c r="F10" s="22" t="str">
        <x:v>STK-01</x:v>
      </x:c>
      <x:c r="G10" s="22" t="str">
        <x:v>UC-03</x:v>
      </x:c>
      <x:c r="H10" s="22" t="str">
        <x:v>BR-02</x:v>
      </x:c>
      <x:c r="I10" s="22" t="str">
        <x:v>Proposed (case study)</x:v>
      </x:c>
      <x:c r="J10" s="22" t="str">
        <x:v>Vuong Nguyen Manh Kien</x:v>
      </x:c>
      <x:c r="K10" s="22" t="str">
        <x:v>Test/Inspection</x:v>
      </x:c>
    </x:row>
    <x:row r="11" ht="41" customHeight="1">
      <x:c r="A11" s="22" t="str">
        <x:v>FR-3.1.3</x:v>
      </x:c>
      <x:c r="B11" s="22" t="str">
        <x:v>Handle Unavailable Schedules</x:v>
      </x:c>
      <x:c r="C11" s="22" t="str">
        <x:v>If no eligible slot exists for the selected day, the system shall display an empty-result message and permit choosing another date.</x:v>
      </x:c>
      <x:c r="D11" s="22" t="str">
        <x:v>Show an empty result message without creating a booking</x:v>
      </x:c>
      <x:c r="E11" s="22" t="str">
        <x:v>Should</x:v>
      </x:c>
      <x:c r="F11" s="22" t="str">
        <x:v>STK-01</x:v>
      </x:c>
      <x:c r="G11" s="22" t="str">
        <x:v>UC-03</x:v>
      </x:c>
      <x:c r="H11" s="22" t="str">
        <x:v>BR-02</x:v>
      </x:c>
      <x:c r="I11" s="22" t="str">
        <x:v>Proposed (case study)</x:v>
      </x:c>
      <x:c r="J11" s="22" t="str">
        <x:v>Vuong Nguyen Manh Kien</x:v>
      </x:c>
      <x:c r="K11" s="22" t="str">
        <x:v>Test/Inspection</x:v>
      </x:c>
    </x:row>
    <x:row r="12" ht="41" customHeight="1">
      <x:c r="A12" s="22" t="str">
        <x:v>FR-4.1.1</x:v>
      </x:c>
      <x:c r="B12" s="22" t="str">
        <x:v>Create Appointment</x:v>
      </x:c>
      <x:c r="C12" s="22" t="str">
        <x:v>When a patient confirms an available slot, the system shall create an appointment with a unique ID and status Confirmed.</x:v>
      </x:c>
      <x:c r="D12" s="22" t="str">
        <x:v>A unique appointment ID and Confirmed status are created</x:v>
      </x:c>
      <x:c r="E12" s="22" t="str">
        <x:v>Must</x:v>
      </x:c>
      <x:c r="F12" s="22" t="str">
        <x:v>STK-01</x:v>
      </x:c>
      <x:c r="G12" s="22" t="str">
        <x:v>UC-04</x:v>
      </x:c>
      <x:c r="H12" s="22" t="str">
        <x:v>BR-03</x:v>
      </x:c>
      <x:c r="I12" s="22" t="str">
        <x:v>Proposed (case study)</x:v>
      </x:c>
      <x:c r="J12" s="22" t="str">
        <x:v>Vuong Nguyen Manh Kien</x:v>
      </x:c>
      <x:c r="K12" s="22" t="str">
        <x:v>Test/Inspection</x:v>
      </x:c>
    </x:row>
    <x:row r="13" ht="41" customHeight="1">
      <x:c r="A13" s="22" t="str">
        <x:v>FR-4.1.2</x:v>
      </x:c>
      <x:c r="B13" s="22" t="str">
        <x:v>Prevent Overbooking</x:v>
      </x:c>
      <x:c r="C13" s="22" t="str">
        <x:v>While concurrent booking requests compete for a slot, the system shall prevent confirmed bookings from exceeding slot capacity.</x:v>
      </x:c>
      <x:c r="D13" s="22" t="str">
        <x:v>With capacity = 1, only one of two competing confirmations succeeds</x:v>
      </x:c>
      <x:c r="E13" s="22" t="str">
        <x:v>Must</x:v>
      </x:c>
      <x:c r="F13" s="22" t="str">
        <x:v>STK-04</x:v>
      </x:c>
      <x:c r="G13" s="22" t="str">
        <x:v>UC-04</x:v>
      </x:c>
      <x:c r="H13" s="22" t="str">
        <x:v>BR-02</x:v>
      </x:c>
      <x:c r="I13" s="22" t="str">
        <x:v>Proposed (case study)</x:v>
      </x:c>
      <x:c r="J13" s="22" t="str">
        <x:v>Vuong Nguyen Manh Kien</x:v>
      </x:c>
      <x:c r="K13" s="22" t="str">
        <x:v>Test/Inspection</x:v>
      </x:c>
    </x:row>
    <x:row r="14" ht="41" customHeight="1">
      <x:c r="A14" s="22" t="str">
        <x:v>FR-4.1.3</x:v>
      </x:c>
      <x:c r="B14" s="22" t="str">
        <x:v>Reject Ineligible Slot</x:v>
      </x:c>
      <x:c r="C14" s="22" t="str">
        <x:v>If a slot is unavailable at confirmation time, the system shall reject booking without reducing its remaining capacity.</x:v>
      </x:c>
      <x:c r="D14" s="22" t="str">
        <x:v>No appointment is created or capacity consumed for an invalid slot</x:v>
      </x:c>
      <x:c r="E14" s="22" t="str">
        <x:v>Must</x:v>
      </x:c>
      <x:c r="F14" s="22" t="str">
        <x:v>STK-04</x:v>
      </x:c>
      <x:c r="G14" s="22" t="str">
        <x:v>UC-04</x:v>
      </x:c>
      <x:c r="H14" s="22" t="str">
        <x:v>BR-02</x:v>
      </x:c>
      <x:c r="I14" s="22" t="str">
        <x:v>Proposed (case study)</x:v>
      </x:c>
      <x:c r="J14" s="22" t="str">
        <x:v>Vuong Nguyen Manh Kien</x:v>
      </x:c>
      <x:c r="K14" s="22" t="str">
        <x:v>Test/Inspection</x:v>
      </x:c>
    </x:row>
    <x:row r="15" ht="41" customHeight="1">
      <x:c r="A15" s="22" t="str">
        <x:v>FR-5.1.1</x:v>
      </x:c>
      <x:c r="B15" s="22" t="str">
        <x:v>List My Appointments</x:v>
      </x:c>
      <x:c r="C15" s="22" t="str">
        <x:v>When an authenticated patient opens My Appointments, the system shall list only appointments owned by that patient.</x:v>
      </x:c>
      <x:c r="D15" s="22" t="str">
        <x:v>No other patient’s appointment appears in the response</x:v>
      </x:c>
      <x:c r="E15" s="22" t="str">
        <x:v>Must</x:v>
      </x:c>
      <x:c r="F15" s="22" t="str">
        <x:v>STK-01</x:v>
      </x:c>
      <x:c r="G15" s="22" t="str">
        <x:v>UC-05</x:v>
      </x:c>
      <x:c r="H15" s="22" t="str">
        <x:v>BR-10</x:v>
      </x:c>
      <x:c r="I15" s="22" t="str">
        <x:v>Proposed (case study)</x:v>
      </x:c>
      <x:c r="J15" s="22" t="str">
        <x:v>Vuong Nguyen Manh Kien</x:v>
      </x:c>
      <x:c r="K15" s="22" t="str">
        <x:v>Test/Inspection</x:v>
      </x:c>
    </x:row>
    <x:row r="16" ht="41" customHeight="1">
      <x:c r="A16" s="22" t="str">
        <x:v>FR-5.1.2</x:v>
      </x:c>
      <x:c r="B16" s="22" t="str">
        <x:v>Display Appointment Details</x:v>
      </x:c>
      <x:c r="C16" s="22" t="str">
        <x:v>When a patient opens an owned appointment, the system shall display appointment ID, specialty, doctor, time and status.</x:v>
      </x:c>
      <x:c r="D16" s="22" t="str">
        <x:v>Appointment ID, specialty, doctor, time and status are displayed</x:v>
      </x:c>
      <x:c r="E16" s="22" t="str">
        <x:v>Should</x:v>
      </x:c>
      <x:c r="F16" s="22" t="str">
        <x:v>STK-01</x:v>
      </x:c>
      <x:c r="G16" s="22" t="str">
        <x:v>UC-05</x:v>
      </x:c>
      <x:c r="H16" s="22" t="str">
        <x:v>BR-10</x:v>
      </x:c>
      <x:c r="I16" s="22" t="str">
        <x:v>Proposed (case study)</x:v>
      </x:c>
      <x:c r="J16" s="22" t="str">
        <x:v>Vuong Nguyen Manh Kien</x:v>
      </x:c>
      <x:c r="K16" s="22" t="str">
        <x:v>Test/Inspection</x:v>
      </x:c>
    </x:row>
    <x:row r="17" ht="41" customHeight="1">
      <x:c r="A17" s="22" t="str">
        <x:v>FR-6.1.1</x:v>
      </x:c>
      <x:c r="B17" s="22" t="str">
        <x:v>Cancel Within Allowed Window</x:v>
      </x:c>
      <x:c r="C17" s="22" t="str">
        <x:v>When an appointment owner cancels at least 12 hours before the visit, the system shall set status Cancelled and release the occupied slot once.</x:v>
      </x:c>
      <x:c r="D17" s="22" t="str">
        <x:v>Status becomes Cancelled and capacity is released exactly once</x:v>
      </x:c>
      <x:c r="E17" s="22" t="str">
        <x:v>Must</x:v>
      </x:c>
      <x:c r="F17" s="22" t="str">
        <x:v>STK-01</x:v>
      </x:c>
      <x:c r="G17" s="22" t="str">
        <x:v>UC-06</x:v>
      </x:c>
      <x:c r="H17" s="22" t="str">
        <x:v>BR-04</x:v>
      </x:c>
      <x:c r="I17" s="22" t="str">
        <x:v>Proposed (case study)</x:v>
      </x:c>
      <x:c r="J17" s="22" t="str">
        <x:v>Vuong Nguyen Manh Kien</x:v>
      </x:c>
      <x:c r="K17" s="22" t="str">
        <x:v>Test/Inspection</x:v>
      </x:c>
    </x:row>
    <x:row r="18" ht="41" customHeight="1">
      <x:c r="A18" s="22" t="str">
        <x:v>FR-6.1.2</x:v>
      </x:c>
      <x:c r="B18" s="22" t="str">
        <x:v>Block Late or Unauthorized Cancellation</x:v>
      </x:c>
      <x:c r="C18" s="22" t="str">
        <x:v>If cancellation is requested within 12 hours of the visit or the appointment is not owned by the requester, the system shall reject self-service cancellation.</x:v>
      </x:c>
      <x:c r="D18" s="22" t="str">
        <x:v>Confirmed status and remaining capacity remain unchanged</x:v>
      </x:c>
      <x:c r="E18" s="22" t="str">
        <x:v>Must</x:v>
      </x:c>
      <x:c r="F18" s="22" t="str">
        <x:v>STK-04</x:v>
      </x:c>
      <x:c r="G18" s="22" t="str">
        <x:v>UC-06</x:v>
      </x:c>
      <x:c r="H18" s="22" t="str">
        <x:v>BR-04</x:v>
      </x:c>
      <x:c r="I18" s="22" t="str">
        <x:v>Proposed (case study)</x:v>
      </x:c>
      <x:c r="J18" s="22" t="str">
        <x:v>Vuong Nguyen Manh Kien</x:v>
      </x:c>
      <x:c r="K18" s="22" t="str">
        <x:v>Test/Inspection</x:v>
      </x:c>
    </x:row>
    <x:row r="19" ht="41" customHeight="1">
      <x:c r="A19" s="22" t="str">
        <x:v>FR-7.1.1</x:v>
      </x:c>
      <x:c r="B19" s="22" t="str">
        <x:v>Atomic Appointment Rescheduling</x:v>
      </x:c>
      <x:c r="C19" s="22" t="str">
        <x:v>When an appointment owner selects an eligible new slot at least 12 hours before the visit, the system shall atomically move the booking to the new slot.</x:v>
      </x:c>
      <x:c r="D19" s="22" t="str">
        <x:v>Original slot is released and the new slot is reserved exactly once</x:v>
      </x:c>
      <x:c r="E19" s="22" t="str">
        <x:v>Must</x:v>
      </x:c>
      <x:c r="F19" s="22" t="str">
        <x:v>STK-01</x:v>
      </x:c>
      <x:c r="G19" s="22" t="str">
        <x:v>UC-07</x:v>
      </x:c>
      <x:c r="H19" s="22" t="str">
        <x:v>BR-05</x:v>
      </x:c>
      <x:c r="I19" s="22" t="str">
        <x:v>Proposed (case study)</x:v>
      </x:c>
      <x:c r="J19" s="22" t="str">
        <x:v>Vuong Nguyen Manh Kien</x:v>
      </x:c>
      <x:c r="K19" s="22" t="str">
        <x:v>Test/Inspection</x:v>
      </x:c>
    </x:row>
    <x:row r="20" ht="41" customHeight="1">
      <x:c r="A20" s="22" t="str">
        <x:v>FR-7.1.2</x:v>
      </x:c>
      <x:c r="B20" s="22" t="str">
        <x:v>Preserve Booking on Rescheduling Failure</x:v>
      </x:c>
      <x:c r="C20" s="22" t="str">
        <x:v>If a reschedule request fails eligibility or availability checks, the system shall preserve the original appointment and slot allocation.</x:v>
      </x:c>
      <x:c r="D20" s="22" t="str">
        <x:v>No original booking is lost and no new capacity is consumed</x:v>
      </x:c>
      <x:c r="E20" s="22" t="str">
        <x:v>Must</x:v>
      </x:c>
      <x:c r="F20" s="22" t="str">
        <x:v>STK-04</x:v>
      </x:c>
      <x:c r="G20" s="22" t="str">
        <x:v>UC-07</x:v>
      </x:c>
      <x:c r="H20" s="22" t="str">
        <x:v>BR-05</x:v>
      </x:c>
      <x:c r="I20" s="22" t="str">
        <x:v>Proposed (case study)</x:v>
      </x:c>
      <x:c r="J20" s="22" t="str">
        <x:v>Vuong Nguyen Manh Kien</x:v>
      </x:c>
      <x:c r="K20" s="22" t="str">
        <x:v>Test/Inspection</x:v>
      </x:c>
    </x:row>
    <x:row r="21" ht="41" customHeight="1">
      <x:c r="A21" s="22" t="str">
        <x:v>FR-8.1.1</x:v>
      </x:c>
      <x:c r="B21" s="22" t="str">
        <x:v>Validate Reception Check-in</x:v>
      </x:c>
      <x:c r="C21" s="22" t="str">
        <x:v>When reception staff provide a valid Confirmed appointment ID and verify patient identity, the system shall set the appointment status to Checked-in.</x:v>
      </x:c>
      <x:c r="D21" s="22" t="str">
        <x:v>Confirmed transitions to Checked-in after identity verification</x:v>
      </x:c>
      <x:c r="E21" s="22" t="str">
        <x:v>Must</x:v>
      </x:c>
      <x:c r="F21" s="22" t="str">
        <x:v>STK-02</x:v>
      </x:c>
      <x:c r="G21" s="22" t="str">
        <x:v>UC-08</x:v>
      </x:c>
      <x:c r="H21" s="22" t="str">
        <x:v>BR-06</x:v>
      </x:c>
      <x:c r="I21" s="22" t="str">
        <x:v>Proposed (case study)</x:v>
      </x:c>
      <x:c r="J21" s="22" t="str">
        <x:v>Vuong Nguyen Manh Kien</x:v>
      </x:c>
      <x:c r="K21" s="22" t="str">
        <x:v>Test/Inspection</x:v>
      </x:c>
    </x:row>
    <x:row r="22" ht="41" customHeight="1">
      <x:c r="A22" s="22" t="str">
        <x:v>FR-8.1.2</x:v>
      </x:c>
      <x:c r="B22" s="22" t="str">
        <x:v>Prevent Duplicate Check-in</x:v>
      </x:c>
      <x:c r="C22" s="22" t="str">
        <x:v>If an appointment is already Checked-in, Cancelled or unknown, the system shall reject an additional check-in without changing the record.</x:v>
      </x:c>
      <x:c r="D22" s="22" t="str">
        <x:v>A second check-in record is never created</x:v>
      </x:c>
      <x:c r="E22" s="22" t="str">
        <x:v>Must</x:v>
      </x:c>
      <x:c r="F22" s="22" t="str">
        <x:v>STK-02</x:v>
      </x:c>
      <x:c r="G22" s="22" t="str">
        <x:v>UC-08</x:v>
      </x:c>
      <x:c r="H22" s="22" t="str">
        <x:v>BR-06</x:v>
      </x:c>
      <x:c r="I22" s="22" t="str">
        <x:v>Proposed (case study)</x:v>
      </x:c>
      <x:c r="J22" s="22" t="str">
        <x:v>Vuong Nguyen Manh Kien</x:v>
      </x:c>
      <x:c r="K22" s="22" t="str">
        <x:v>Test/Inspection</x:v>
      </x:c>
    </x:row>
    <x:row r="23" ht="41" customHeight="1">
      <x:c r="A23" s="22" t="str">
        <x:v>FR-9.1.1</x:v>
      </x:c>
      <x:c r="B23" s="22" t="str">
        <x:v>View Assigned Doctor Queue</x:v>
      </x:c>
      <x:c r="C23" s="22" t="str">
        <x:v>When an assigned doctor requests their daily queue, the system shall display only appointments for that doctor and day.</x:v>
      </x:c>
      <x:c r="D23" s="22" t="str">
        <x:v>Doctor can view only assigned appointments</x:v>
      </x:c>
      <x:c r="E23" s="22" t="str">
        <x:v>Must</x:v>
      </x:c>
      <x:c r="F23" s="22" t="str">
        <x:v>STK-03</x:v>
      </x:c>
      <x:c r="G23" s="22" t="str">
        <x:v>UC-09</x:v>
      </x:c>
      <x:c r="H23" s="22" t="str">
        <x:v>BR-07</x:v>
      </x:c>
      <x:c r="I23" s="22" t="str">
        <x:v>Proposed (case study)</x:v>
      </x:c>
      <x:c r="J23" s="22" t="str">
        <x:v>Vuong Nguyen Manh Kien</x:v>
      </x:c>
      <x:c r="K23" s="22" t="str">
        <x:v>Test/Inspection</x:v>
      </x:c>
    </x:row>
    <x:row r="24" ht="41" customHeight="1">
      <x:c r="A24" s="22" t="str">
        <x:v>FR-9.1.2</x:v>
      </x:c>
      <x:c r="B24" s="22" t="str">
        <x:v>Start Consultation</x:v>
      </x:c>
      <x:c r="C24" s="22" t="str">
        <x:v>When an assigned doctor begins a Checked-in appointment, the system shall transition it to In Progress.</x:v>
      </x:c>
      <x:c r="D24" s="22" t="str">
        <x:v>Only Checked-in appointments can transition to In Progress</x:v>
      </x:c>
      <x:c r="E24" s="22" t="str">
        <x:v>Must</x:v>
      </x:c>
      <x:c r="F24" s="22" t="str">
        <x:v>STK-03</x:v>
      </x:c>
      <x:c r="G24" s="22" t="str">
        <x:v>UC-09</x:v>
      </x:c>
      <x:c r="H24" s="22" t="str">
        <x:v>BR-07</x:v>
      </x:c>
      <x:c r="I24" s="22" t="str">
        <x:v>Proposed (case study)</x:v>
      </x:c>
      <x:c r="J24" s="22" t="str">
        <x:v>Vuong Nguyen Manh Kien</x:v>
      </x:c>
      <x:c r="K24" s="22" t="str">
        <x:v>Test/Inspection</x:v>
      </x:c>
    </x:row>
    <x:row r="25" ht="41" customHeight="1">
      <x:c r="A25" s="22" t="str">
        <x:v>FR-9.1.3</x:v>
      </x:c>
      <x:c r="B25" s="22" t="str">
        <x:v>Complete Consultation</x:v>
      </x:c>
      <x:c r="C25" s="22" t="str">
        <x:v>When an assigned doctor finishes an In Progress appointment, the system shall set status Completed.</x:v>
      </x:c>
      <x:c r="D25" s="22" t="str">
        <x:v>Only In Progress appointments can transition to Completed</x:v>
      </x:c>
      <x:c r="E25" s="22" t="str">
        <x:v>Must</x:v>
      </x:c>
      <x:c r="F25" s="22" t="str">
        <x:v>STK-03</x:v>
      </x:c>
      <x:c r="G25" s="22" t="str">
        <x:v>UC-09</x:v>
      </x:c>
      <x:c r="H25" s="22" t="str">
        <x:v>BR-07</x:v>
      </x:c>
      <x:c r="I25" s="22" t="str">
        <x:v>Proposed (case study)</x:v>
      </x:c>
      <x:c r="J25" s="22" t="str">
        <x:v>Vuong Nguyen Manh Kien</x:v>
      </x:c>
      <x:c r="K25" s="22" t="str">
        <x:v>Test/Inspection</x:v>
      </x:c>
    </x:row>
    <x:row r="26" ht="41" customHeight="1">
      <x:c r="A26" s="22" t="str">
        <x:v>FR-10.1.1</x:v>
      </x:c>
      <x:c r="B26" s="22" t="str">
        <x:v>Prevent Overlapping Physician Slots</x:v>
      </x:c>
      <x:c r="C26" s="22" t="str">
        <x:v>When an administrator creates a doctor slot, the system shall reject overlapping active slots for that doctor.</x:v>
      </x:c>
      <x:c r="D26" s="22" t="str">
        <x:v>Overlapping active slots cannot be created for the same doctor</x:v>
      </x:c>
      <x:c r="E26" s="22" t="str">
        <x:v>Must</x:v>
      </x:c>
      <x:c r="F26" s="22" t="str">
        <x:v>STK-05</x:v>
      </x:c>
      <x:c r="G26" s="22" t="str">
        <x:v>UC-10</x:v>
      </x:c>
      <x:c r="H26" s="22" t="str">
        <x:v>BR-08</x:v>
      </x:c>
      <x:c r="I26" s="22" t="str">
        <x:v>Proposed (case study)</x:v>
      </x:c>
      <x:c r="J26" s="22" t="str">
        <x:v>Vuong Nguyen Manh Kien</x:v>
      </x:c>
      <x:c r="K26" s="22" t="str">
        <x:v>Test/Inspection</x:v>
      </x:c>
    </x:row>
    <x:row r="27" ht="41" customHeight="1">
      <x:c r="A27" s="22" t="str">
        <x:v>FR-10.1.2</x:v>
      </x:c>
      <x:c r="B27" s="22" t="str">
        <x:v>Handle Unexpected Physician Absence</x:v>
      </x:c>
      <x:c r="C27" s="22" t="str">
        <x:v>When an administrator suspends a doctor slot with confirmed patients, the system shall flag its affected appointments Needs Rescheduling for staff action.</x:v>
      </x:c>
      <x:c r="D27" s="22" t="str">
        <x:v>Every affected booking is flagged for staff review</x:v>
      </x:c>
      <x:c r="E27" s="22" t="str">
        <x:v>Must</x:v>
      </x:c>
      <x:c r="F27" s="22" t="str">
        <x:v>STK-04</x:v>
      </x:c>
      <x:c r="G27" s="22" t="str">
        <x:v>UC-10</x:v>
      </x:c>
      <x:c r="H27" s="22" t="str">
        <x:v>BR-09</x:v>
      </x:c>
      <x:c r="I27" s="22" t="str">
        <x:v>Proposed (case study)</x:v>
      </x:c>
      <x:c r="J27" s="22" t="str">
        <x:v>Vuong Nguyen Manh Kien</x:v>
      </x:c>
      <x:c r="K27" s="22" t="str">
        <x:v>Test/Inspection</x:v>
      </x:c>
    </x:row>
    <x:row r="28" ht="41" customHeight="1">
      <x:c r="A28" s="22" t="str">
        <x:v>FR-10.1.3</x:v>
      </x:c>
      <x:c r="B28" s="22" t="str">
        <x:v>Audit Schedule Changes</x:v>
      </x:c>
      <x:c r="C28" s="22" t="str">
        <x:v>When an administrator changes a schedule, the system shall record the actor, time and before/after values in the audit log.</x:v>
      </x:c>
      <x:c r="D28" s="22" t="str">
        <x:v>Audit entry contains actor, timestamp, previous and new values</x:v>
      </x:c>
      <x:c r="E28" s="22" t="str">
        <x:v>Must</x:v>
      </x:c>
      <x:c r="F28" s="22" t="str">
        <x:v>STK-06</x:v>
      </x:c>
      <x:c r="G28" s="22" t="str">
        <x:v>UC-10</x:v>
      </x:c>
      <x:c r="H28" s="22" t="str">
        <x:v>BR-11</x:v>
      </x:c>
      <x:c r="I28" s="22" t="str">
        <x:v>Proposed (case study)</x:v>
      </x:c>
      <x:c r="J28" s="22" t="str">
        <x:v>Vuong Nguyen Manh Kien</x:v>
      </x:c>
      <x:c r="K28" s="22" t="str">
        <x:v>Test/Inspection</x:v>
      </x:c>
    </x:row>
    <x:row r="29" ht="41" customHeight="1">
      <x:c r="A29" s="22" t="str">
        <x:v>FR-11.1.1</x:v>
      </x:c>
      <x:c r="B29" s="22" t="str">
        <x:v>Enqueue Notification Events</x:v>
      </x:c>
      <x:c r="C29" s="22" t="str">
        <x:v>When an appointment is confirmed, cancelled or rescheduled, the system shall enqueue exactly one logical notification event for that action.</x:v>
      </x:c>
      <x:c r="D29" s="22" t="str">
        <x:v>One logical event with a unique event ID is created per relevant action</x:v>
      </x:c>
      <x:c r="E29" s="22" t="str">
        <x:v>Should</x:v>
      </x:c>
      <x:c r="F29" s="22" t="str">
        <x:v>STK-01</x:v>
      </x:c>
      <x:c r="G29" s="22" t="str">
        <x:v>UC-11</x:v>
      </x:c>
      <x:c r="H29" s="22" t="str">
        <x:v>BR-12</x:v>
      </x:c>
      <x:c r="I29" s="22" t="str">
        <x:v>Proposed (case study)</x:v>
      </x:c>
      <x:c r="J29" s="22" t="str">
        <x:v>Vuong Nguyen Manh Kien</x:v>
      </x:c>
      <x:c r="K29" s="22" t="str">
        <x:v>Test/Inspection</x:v>
      </x:c>
    </x:row>
    <x:row r="30" ht="41" customHeight="1">
      <x:c r="A30" s="22" t="str">
        <x:v>FR-11.1.2</x:v>
      </x:c>
      <x:c r="B30" s="22" t="str">
        <x:v>Preserve Appointment During Notification Failure</x:v>
      </x:c>
      <x:c r="C30" s="22" t="str">
        <x:v>If a notification provider returns an error, the system shall retain the appointment state and mark the event for a controlled retry.</x:v>
      </x:c>
      <x:c r="D30" s="22" t="str">
        <x:v>The appointment does not change; failed events are marked for retry</x:v>
      </x:c>
      <x:c r="E30" s="22" t="str">
        <x:v>Should</x:v>
      </x:c>
      <x:c r="F30" s="22" t="str">
        <x:v>STK-05</x:v>
      </x:c>
      <x:c r="G30" s="22" t="str">
        <x:v>UC-11</x:v>
      </x:c>
      <x:c r="H30" s="22" t="str">
        <x:v>BR-12</x:v>
      </x:c>
      <x:c r="I30" s="22" t="str">
        <x:v>Proposed (case study)</x:v>
      </x:c>
      <x:c r="J30" s="22" t="str">
        <x:v>Vuong Nguyen Manh Kien</x:v>
      </x:c>
      <x:c r="K30" s="22" t="str">
        <x:v>Test/Inspection</x:v>
      </x:c>
    </x:row>
    <x:row r="31" ht="41" customHeight="1">
      <x:c r="A31" s="22" t="str">
        <x:v>FR-12.1.1</x:v>
      </x:c>
      <x:c r="B31" s="22" t="str">
        <x:v>Count Appointments by Status</x:v>
      </x:c>
      <x:c r="C31" s="22" t="str">
        <x:v>When an administrator requests a daily summary, the system shall return counts of Confirmed, Checked-in, Completed, Cancelled and No-show appointments.</x:v>
      </x:c>
      <x:c r="D31" s="22" t="str">
        <x:v>Status totals match the underlying appointment records</x:v>
      </x:c>
      <x:c r="E31" s="22" t="str">
        <x:v>Should</x:v>
      </x:c>
      <x:c r="F31" s="22" t="str">
        <x:v>STK-04</x:v>
      </x:c>
      <x:c r="G31" s="22" t="str">
        <x:v>UC-12</x:v>
      </x:c>
      <x:c r="H31" s="22" t="str">
        <x:v>BR-11</x:v>
      </x:c>
      <x:c r="I31" s="22" t="str">
        <x:v>Proposed (case study)</x:v>
      </x:c>
      <x:c r="J31" s="22" t="str">
        <x:v>Vuong Nguyen Manh Kien</x:v>
      </x:c>
      <x:c r="K31" s="22" t="str">
        <x:v>Test/Inspection</x:v>
      </x:c>
    </x:row>
    <x:row r="32" ht="41" customHeight="1">
      <x:c r="A32" s="22" t="str">
        <x:v>FR-12.1.2</x:v>
      </x:c>
      <x:c r="B32" s="22" t="str">
        <x:v>Retrieve Audit Records</x:v>
      </x:c>
      <x:c r="C32" s="22" t="str">
        <x:v>When an authorized administrator requests an audit record, the system shall display the event actor, action and timestamp.</x:v>
      </x:c>
      <x:c r="D32" s="22" t="str">
        <x:v>Audit record includes actor, action and timestamp</x:v>
      </x:c>
      <x:c r="E32" s="22" t="str">
        <x:v>Must</x:v>
      </x:c>
      <x:c r="F32" s="22" t="str">
        <x:v>STK-06</x:v>
      </x:c>
      <x:c r="G32" s="22" t="str">
        <x:v>UC-12</x:v>
      </x:c>
      <x:c r="H32" s="22" t="str">
        <x:v>BR-11</x:v>
      </x:c>
      <x:c r="I32" s="22" t="str">
        <x:v>Proposed (case study)</x:v>
      </x:c>
      <x:c r="J32" s="22" t="str">
        <x:v>Vuong Nguyen Manh Kien</x:v>
      </x:c>
      <x:c r="K32" s="22" t="str">
        <x:v>Test/Inspection</x:v>
      </x:c>
    </x:row>
    <x:row r="33" ht="41" customHeight="1">
      <x:c r="A33" s="22" t="str">
        <x:v>FR-12.1.3</x:v>
      </x:c>
      <x:c r="B33" s="22" t="str">
        <x:v>Restrict Administrative Reports</x:v>
      </x:c>
      <x:c r="C33" s="22" t="str">
        <x:v>If a non-administrator requests a restricted report, the system shall deny access without returning the report contents.</x:v>
      </x:c>
      <x:c r="D33" s="22" t="str">
        <x:v>Unauthorized users receive access denied with no report contents</x:v>
      </x:c>
      <x:c r="E33" s="22" t="str">
        <x:v>Must</x:v>
      </x:c>
      <x:c r="F33" s="22" t="str">
        <x:v>STK-06</x:v>
      </x:c>
      <x:c r="G33" s="22" t="str">
        <x:v>UC-12</x:v>
      </x:c>
      <x:c r="H33" s="22" t="str">
        <x:v>BR-10</x:v>
      </x:c>
      <x:c r="I33" s="22" t="str">
        <x:v>Proposed (case study)</x:v>
      </x:c>
      <x:c r="J33" s="22" t="str">
        <x:v>Vuong Nguyen Manh Kien</x:v>
      </x:c>
      <x:c r="K33" s="22" t="str">
        <x:v>Test/Inspection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5" customHeight="1">
      <x:c r="A1" s="4" t="str">
        <x:v>HOAS | 04_BusinessRules</x:v>
      </x:c>
      <x:c r="B1" s="4"/>
      <x:c r="C1" s="4"/>
      <x:c r="D1" s="4"/>
    </x:row>
    <x:row r="2" ht="30" customHeight="1">
      <x:c r="A2" s="10" t="str">
        <x:v>STEP 3/8 | Twelve proposed business rules requiring stakeholder approval before deployment</x:v>
      </x:c>
      <x:c r="B2" s="10"/>
      <x:c r="C2" s="10"/>
      <x:c r="D2" s="10"/>
    </x:row>
    <x:row r="3" ht="38" customHeight="1">
      <x:c r="A3" s="17" t="str">
        <x:v>Rule ID</x:v>
      </x:c>
      <x:c r="B3" s="17" t="str">
        <x:v>Statement</x:v>
      </x:c>
      <x:c r="C3" s="17" t="str">
        <x:v>Source</x:v>
      </x:c>
      <x:c r="D3" s="17" t="str">
        <x:v>Approval</x:v>
      </x:c>
    </x:row>
    <x:row r="4" ht="41" customHeight="1">
      <x:c r="A4" s="22" t="str">
        <x:v>BR-01</x:v>
      </x:c>
      <x:c r="B4" s="22" t="str">
        <x:v>Contact identifiers must be unique and every authenticated session has an assigned role.</x:v>
      </x:c>
      <x:c r="C4" s="22" t="str">
        <x:v>Stakeholder workshop (simulated)</x:v>
      </x:c>
      <x:c r="D4" s="22" t="str">
        <x:v>Proposed; pending real hospital sign-off</x:v>
      </x:c>
    </x:row>
    <x:row r="5" ht="41" customHeight="1">
      <x:c r="A5" s="22" t="str">
        <x:v>BR-02</x:v>
      </x:c>
      <x:c r="B5" s="22" t="str">
        <x:v>A slot is eligible only if it is in the future, active and has booking_count below capacity.</x:v>
      </x:c>
      <x:c r="C5" s="22" t="str">
        <x:v>Stakeholder workshop (simulated)</x:v>
      </x:c>
      <x:c r="D5" s="22" t="str">
        <x:v>Proposed; pending real hospital sign-off</x:v>
      </x:c>
    </x:row>
    <x:row r="6" ht="41" customHeight="1">
      <x:c r="A6" s="22" t="str">
        <x:v>BR-03</x:v>
      </x:c>
      <x:c r="B6" s="22" t="str">
        <x:v>A Confirmed appointment can be created only after a final capacity check at commit time.</x:v>
      </x:c>
      <x:c r="C6" s="22" t="str">
        <x:v>Stakeholder workshop (simulated)</x:v>
      </x:c>
      <x:c r="D6" s="22" t="str">
        <x:v>Proposed; pending real hospital sign-off</x:v>
      </x:c>
    </x:row>
    <x:row r="7" ht="41" customHeight="1">
      <x:c r="A7" s="22" t="str">
        <x:v>BR-04</x:v>
      </x:c>
      <x:c r="B7" s="22" t="str">
        <x:v>Patients may self-cancel at least 12 hours before the visit; authorized staff handle exceptions.</x:v>
      </x:c>
      <x:c r="C7" s="22" t="str">
        <x:v>Stakeholder workshop (simulated)</x:v>
      </x:c>
      <x:c r="D7" s="22" t="str">
        <x:v>Proposed; pending real hospital sign-off</x:v>
      </x:c>
    </x:row>
    <x:row r="8" ht="41" customHeight="1">
      <x:c r="A8" s="22" t="str">
        <x:v>BR-05</x:v>
      </x:c>
      <x:c r="B8" s="22" t="str">
        <x:v>Patients may self-reschedule at least 12 hours before the visit; both slot allocations change atomically.</x:v>
      </x:c>
      <x:c r="C8" s="22" t="str">
        <x:v>Stakeholder workshop (simulated)</x:v>
      </x:c>
      <x:c r="D8" s="22" t="str">
        <x:v>Proposed; pending real hospital sign-off</x:v>
      </x:c>
    </x:row>
    <x:row r="9" ht="41" customHeight="1">
      <x:c r="A9" s="22" t="str">
        <x:v>BR-06</x:v>
      </x:c>
      <x:c r="B9" s="22" t="str">
        <x:v>Only a Confirmed appointment may be checked in, and only once.</x:v>
      </x:c>
      <x:c r="C9" s="22" t="str">
        <x:v>Stakeholder workshop (simulated)</x:v>
      </x:c>
      <x:c r="D9" s="22" t="str">
        <x:v>Proposed; pending real hospital sign-off</x:v>
      </x:c>
    </x:row>
    <x:row r="10" ht="41" customHeight="1">
      <x:c r="A10" s="22" t="str">
        <x:v>BR-07</x:v>
      </x:c>
      <x:c r="B10" s="22" t="str">
        <x:v>Doctors may view and update only visits assigned to them.</x:v>
      </x:c>
      <x:c r="C10" s="22" t="str">
        <x:v>Stakeholder workshop (simulated)</x:v>
      </x:c>
      <x:c r="D10" s="22" t="str">
        <x:v>Proposed; pending real hospital sign-off</x:v>
      </x:c>
    </x:row>
    <x:row r="11" ht="41" customHeight="1">
      <x:c r="A11" s="22" t="str">
        <x:v>BR-08</x:v>
      </x:c>
      <x:c r="B11" s="22" t="str">
        <x:v>Overlapping active time slots may not be configured for the same doctor.</x:v>
      </x:c>
      <x:c r="C11" s="22" t="str">
        <x:v>Stakeholder workshop (simulated)</x:v>
      </x:c>
      <x:c r="D11" s="22" t="str">
        <x:v>Proposed; pending real hospital sign-off</x:v>
      </x:c>
    </x:row>
    <x:row r="12" ht="41" customHeight="1">
      <x:c r="A12" s="22" t="str">
        <x:v>BR-09</x:v>
      </x:c>
      <x:c r="B12" s="22" t="str">
        <x:v>An unexpected physician absence flags affected visits as Needs Rescheduling; it does not reassign another doctor automatically.</x:v>
      </x:c>
      <x:c r="C12" s="22" t="str">
        <x:v>Stakeholder workshop (simulated)</x:v>
      </x:c>
      <x:c r="D12" s="22" t="str">
        <x:v>Proposed; pending real hospital sign-off</x:v>
      </x:c>
    </x:row>
    <x:row r="13" ht="41" customHeight="1">
      <x:c r="A13" s="22" t="str">
        <x:v>BR-10</x:v>
      </x:c>
      <x:c r="B13" s="22" t="str">
        <x:v>Private appointment information may be read only by the owner or an authorized staff member.</x:v>
      </x:c>
      <x:c r="C13" s="22" t="str">
        <x:v>Stakeholder workshop (simulated)</x:v>
      </x:c>
      <x:c r="D13" s="22" t="str">
        <x:v>Proposed; pending real hospital sign-off</x:v>
      </x:c>
    </x:row>
    <x:row r="14" ht="41" customHeight="1">
      <x:c r="A14" s="22" t="str">
        <x:v>BR-11</x:v>
      </x:c>
      <x:c r="B14" s="22" t="str">
        <x:v>Schedule and appointment state changes must be recorded in an audit log.</x:v>
      </x:c>
      <x:c r="C14" s="22" t="str">
        <x:v>Stakeholder workshop (simulated)</x:v>
      </x:c>
      <x:c r="D14" s="22" t="str">
        <x:v>Proposed; pending real hospital sign-off</x:v>
      </x:c>
    </x:row>
    <x:row r="15" ht="41" customHeight="1">
      <x:c r="A15" s="22" t="str">
        <x:v>BR-12</x:v>
      </x:c>
      <x:c r="B15" s="22" t="str">
        <x:v>A notification failure must not destroy a booking; every logical event has a unique event_id.</x:v>
      </x:c>
      <x:c r="C15" s="22" t="str">
        <x:v>Stakeholder workshop (simulated)</x:v>
      </x:c>
      <x:c r="D15" s="22" t="str">
        <x:v>Proposed; pending real hospital sign-off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35" customHeight="1">
      <x:c r="A1" s="4" t="str">
        <x:v>HOAS | 05_UseCases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10" t="str">
        <x:v>STEP 4/8 | Use case summaries; see the detailed standalone Word specification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38" customHeight="1">
      <x:c r="A3" s="17" t="str">
        <x:v>UC ID</x:v>
      </x:c>
      <x:c r="B3" s="17" t="str">
        <x:v>Title</x:v>
      </x:c>
      <x:c r="C3" s="17" t="str">
        <x:v>Primary actor</x:v>
      </x:c>
      <x:c r="D3" s="17" t="str">
        <x:v>Secondary</x:v>
      </x:c>
      <x:c r="E3" s="17" t="str">
        <x:v>Goal</x:v>
      </x:c>
      <x:c r="F3" s="17" t="str">
        <x:v>Preconditions</x:v>
      </x:c>
      <x:c r="G3" s="17" t="str">
        <x:v>Success</x:v>
      </x:c>
      <x:c r="H3" s="17" t="str">
        <x:v>Failure</x:v>
      </x:c>
      <x:c r="I3" s="17" t="str">
        <x:v>Priority</x:v>
      </x:c>
      <x:c r="J3" s="17" t="str">
        <x:v>Related NFR</x:v>
      </x:c>
    </x:row>
    <x:row r="4" ht="41" customHeight="1">
      <x:c r="A4" s="22" t="str">
        <x:v>UC-01</x:v>
      </x:c>
      <x:c r="B4" s="22" t="str">
        <x:v>Register and Sign In</x:v>
      </x:c>
      <x:c r="C4" s="22" t="str">
        <x:v>Patient</x:v>
      </x:c>
      <x:c r="D4" s="22" t="str">
        <x:v>—</x:v>
      </x:c>
      <x:c r="E4" s="22" t="str">
        <x:v>Register patient identity, authenticate credentials and access the system</x:v>
      </x:c>
      <x:c r="F4" s="22" t="str">
        <x:v>Network access and valid contact details</x:v>
      </x:c>
      <x:c r="G4" s="22" t="str">
        <x:v>Valid account and authenticated session</x:v>
      </x:c>
      <x:c r="H4" s="22" t="str">
        <x:v>No session is issued</x:v>
      </x:c>
      <x:c r="I4" s="22" t="str">
        <x:v>Must</x:v>
      </x:c>
      <x:c r="J4" s="22" t="str">
        <x:v>NFR-3.1; NFR-4.1</x:v>
      </x:c>
    </x:row>
    <x:row r="5" ht="41" customHeight="1">
      <x:c r="A5" s="22" t="str">
        <x:v>UC-02</x:v>
      </x:c>
      <x:c r="B5" s="22" t="str">
        <x:v>Manage Patient Profile</x:v>
      </x:c>
      <x:c r="C5" s="22" t="str">
        <x:v>Patient</x:v>
      </x:c>
      <x:c r="D5" s="22" t="str">
        <x:v>—</x:v>
      </x:c>
      <x:c r="E5" s="22" t="str">
        <x:v>View and update permitted contact information</x:v>
      </x:c>
      <x:c r="F5" s="22" t="str">
        <x:v>Patient is signed in</x:v>
      </x:c>
      <x:c r="G5" s="22" t="str">
        <x:v>Valid profile changes are saved</x:v>
      </x:c>
      <x:c r="H5" s="22" t="str">
        <x:v>Previous profile information remains unchanged</x:v>
      </x:c>
      <x:c r="I5" s="22" t="str">
        <x:v>Should</x:v>
      </x:c>
      <x:c r="J5" s="22" t="str">
        <x:v>NFR-3.1</x:v>
      </x:c>
    </x:row>
    <x:row r="6" ht="41" customHeight="1">
      <x:c r="A6" s="22" t="str">
        <x:v>UC-03</x:v>
      </x:c>
      <x:c r="B6" s="22" t="str">
        <x:v>Search Doctors and Available Slots</x:v>
      </x:c>
      <x:c r="C6" s="22" t="str">
        <x:v>Patient</x:v>
      </x:c>
      <x:c r="D6" s="22" t="str">
        <x:v>—</x:v>
      </x:c>
      <x:c r="E6" s="22" t="str">
        <x:v>Find specialties, doctors, dates and available appointment slots</x:v>
      </x:c>
      <x:c r="F6" s="22" t="str">
        <x:v>Specialty directory and working schedules are configured</x:v>
      </x:c>
      <x:c r="G6" s="22" t="str">
        <x:v>Eligible appointment slots are displayed</x:v>
      </x:c>
      <x:c r="H6" s="22" t="str">
        <x:v>No appointment record is changed</x:v>
      </x:c>
      <x:c r="I6" s="22" t="str">
        <x:v>Must</x:v>
      </x:c>
      <x:c r="J6" s="22" t="str">
        <x:v>NFR-1.1; NFR-5.1</x:v>
      </x:c>
    </x:row>
    <x:row r="7" ht="41" customHeight="1">
      <x:c r="A7" s="22" t="str">
        <x:v>UC-04</x:v>
      </x:c>
      <x:c r="B7" s="22" t="str">
        <x:v>Book an Appointment</x:v>
      </x:c>
      <x:c r="C7" s="22" t="str">
        <x:v>Patient</x:v>
      </x:c>
      <x:c r="D7" s="22" t="str">
        <x:v>Notification Service</x:v>
      </x:c>
      <x:c r="E7" s="22" t="str">
        <x:v>Confirm a slot and create a unique appointment</x:v>
      </x:c>
      <x:c r="F7" s="22" t="str">
        <x:v>Patient is authenticated and the future slot is open</x:v>
      </x:c>
      <x:c r="G7" s="22" t="str">
        <x:v>Unique appointment ID generated; capacity updated; notification queued</x:v>
      </x:c>
      <x:c r="H7" s="22" t="str">
        <x:v>No booking is created and no capacity is consumed</x:v>
      </x:c>
      <x:c r="I7" s="22" t="str">
        <x:v>Must</x:v>
      </x:c>
      <x:c r="J7" s="22" t="str">
        <x:v>NFR-2.1; NFR-4.1</x:v>
      </x:c>
    </x:row>
    <x:row r="8" ht="41" customHeight="1">
      <x:c r="A8" s="22" t="str">
        <x:v>UC-05</x:v>
      </x:c>
      <x:c r="B8" s="22" t="str">
        <x:v>View My Appointments</x:v>
      </x:c>
      <x:c r="C8" s="22" t="str">
        <x:v>Patient</x:v>
      </x:c>
      <x:c r="D8" s="22" t="str">
        <x:v>—</x:v>
      </x:c>
      <x:c r="E8" s="22" t="str">
        <x:v>View previously booked appointments and their statuses</x:v>
      </x:c>
      <x:c r="F8" s="22" t="str">
        <x:v>Patient is authenticated</x:v>
      </x:c>
      <x:c r="G8" s="22" t="str">
        <x:v>Only this patient’s appointments appear</x:v>
      </x:c>
      <x:c r="H8" s="22" t="str">
        <x:v>Other patients’ appointments are never exposed</x:v>
      </x:c>
      <x:c r="I8" s="22" t="str">
        <x:v>Must</x:v>
      </x:c>
      <x:c r="J8" s="22" t="str">
        <x:v>NFR-3.1</x:v>
      </x:c>
    </x:row>
    <x:row r="9" ht="41" customHeight="1">
      <x:c r="A9" s="22" t="str">
        <x:v>UC-06</x:v>
      </x:c>
      <x:c r="B9" s="22" t="str">
        <x:v>Cancel an Appointment</x:v>
      </x:c>
      <x:c r="C9" s="22" t="str">
        <x:v>Patient</x:v>
      </x:c>
      <x:c r="D9" s="22" t="str">
        <x:v>Notification Service</x:v>
      </x:c>
      <x:c r="E9" s="22" t="str">
        <x:v>Cancel an eligible booking and release the reserved place</x:v>
      </x:c>
      <x:c r="F9" s="22" t="str">
        <x:v>Patient owns a Confirmed appointment</x:v>
      </x:c>
      <x:c r="G9" s="22" t="str">
        <x:v>Appointment is Cancelled and capacity is restored once</x:v>
      </x:c>
      <x:c r="H9" s="22" t="str">
        <x:v>Appointment remains unchanged</x:v>
      </x:c>
      <x:c r="I9" s="22" t="str">
        <x:v>Must</x:v>
      </x:c>
      <x:c r="J9" s="22" t="str">
        <x:v>NFR-2.1; NFR-3.1</x:v>
      </x:c>
    </x:row>
    <x:row r="10" ht="41" customHeight="1">
      <x:c r="A10" s="22" t="str">
        <x:v>UC-07</x:v>
      </x:c>
      <x:c r="B10" s="22" t="str">
        <x:v>Reschedule an Appointment</x:v>
      </x:c>
      <x:c r="C10" s="22" t="str">
        <x:v>Patient</x:v>
      </x:c>
      <x:c r="D10" s="22" t="str">
        <x:v>Notification Service</x:v>
      </x:c>
      <x:c r="E10" s="22" t="str">
        <x:v>Move an appointment to another slot without losing the original booking if anything fails</x:v>
      </x:c>
      <x:c r="F10" s="22" t="str">
        <x:v>Patient owns a Confirmed booking with at least 12 hours remaining</x:v>
      </x:c>
      <x:c r="G10" s="22" t="str">
        <x:v>Booking uses the new slot; the original slot is released</x:v>
      </x:c>
      <x:c r="H10" s="22" t="str">
        <x:v>Original appointment and capacity remain intact</x:v>
      </x:c>
      <x:c r="I10" s="22" t="str">
        <x:v>Must</x:v>
      </x:c>
      <x:c r="J10" s="22" t="str">
        <x:v>NFR-2.1; NFR-3.1</x:v>
      </x:c>
    </x:row>
    <x:row r="11" ht="41" customHeight="1">
      <x:c r="A11" s="22" t="str">
        <x:v>UC-08</x:v>
      </x:c>
      <x:c r="B11" s="22" t="str">
        <x:v>Patient Check-in</x:v>
      </x:c>
      <x:c r="C11" s="22" t="str">
        <x:v>Receptionist</x:v>
      </x:c>
      <x:c r="D11" s="22" t="str">
        <x:v>Patient</x:v>
      </x:c>
      <x:c r="E11" s="22" t="str">
        <x:v>Confirm a patient’s arrival at the outpatient reception desk</x:v>
      </x:c>
      <x:c r="F11" s="22" t="str">
        <x:v>Confirmed appointment exists and receptionist is authenticated</x:v>
      </x:c>
      <x:c r="G11" s="22" t="str">
        <x:v>Appointment status becomes Checked-in and the patient enters the queue</x:v>
      </x:c>
      <x:c r="H11" s="22" t="str">
        <x:v>Original booking status is preserved</x:v>
      </x:c>
      <x:c r="I11" s="22" t="str">
        <x:v>Must</x:v>
      </x:c>
      <x:c r="J11" s="22" t="str">
        <x:v>NFR-3.1; NFR-6.1</x:v>
      </x:c>
    </x:row>
    <x:row r="12" ht="41" customHeight="1">
      <x:c r="A12" s="22" t="str">
        <x:v>UC-09</x:v>
      </x:c>
      <x:c r="B12" s="22" t="str">
        <x:v>Manage Consultation Progress</x:v>
      </x:c>
      <x:c r="C12" s="22" t="str">
        <x:v>Doctor</x:v>
      </x:c>
      <x:c r="D12" s="22" t="str">
        <x:v>—</x:v>
      </x:c>
      <x:c r="E12" s="22" t="str">
        <x:v>Allow doctors to review assigned patients and update consultation progress</x:v>
      </x:c>
      <x:c r="F12" s="22" t="str">
        <x:v>A Checked-in appointment is assigned to the signed-in doctor</x:v>
      </x:c>
      <x:c r="G12" s="22" t="str">
        <x:v>Status moves correctly to In Progress or Completed</x:v>
      </x:c>
      <x:c r="H12" s="22" t="str">
        <x:v>Appointment remains unchanged</x:v>
      </x:c>
      <x:c r="I12" s="22" t="str">
        <x:v>Must</x:v>
      </x:c>
      <x:c r="J12" s="22" t="str">
        <x:v>NFR-3.1; NFR-6.1</x:v>
      </x:c>
    </x:row>
    <x:row r="13" ht="41" customHeight="1">
      <x:c r="A13" s="22" t="str">
        <x:v>UC-10</x:v>
      </x:c>
      <x:c r="B13" s="22" t="str">
        <x:v>Manage Physician Schedules</x:v>
      </x:c>
      <x:c r="C13" s="22" t="str">
        <x:v>Administrator</x:v>
      </x:c>
      <x:c r="D13" s="22" t="str">
        <x:v>Doctor</x:v>
      </x:c>
      <x:c r="E13" s="22" t="str">
        <x:v>Add, suspend and adjust work slots, including unexpected absences</x:v>
      </x:c>
      <x:c r="F13" s="22" t="str">
        <x:v>Administrator is authorized and physician records exist</x:v>
      </x:c>
      <x:c r="G13" s="22" t="str">
        <x:v>Available slots are updated</x:v>
      </x:c>
      <x:c r="H13" s="22" t="str">
        <x:v>No patient booking is cancelled accidentally</x:v>
      </x:c>
      <x:c r="I13" s="22" t="str">
        <x:v>Must</x:v>
      </x:c>
      <x:c r="J13" s="22" t="str">
        <x:v>NFR-6.1; NFR-2.1</x:v>
      </x:c>
    </x:row>
    <x:row r="14" ht="41" customHeight="1">
      <x:c r="A14" s="22" t="str">
        <x:v>UC-11</x:v>
      </x:c>
      <x:c r="B14" s="22" t="str">
        <x:v>Send Appointment Notifications</x:v>
      </x:c>
      <x:c r="C14" s="22" t="str">
        <x:v>Notification Service</x:v>
      </x:c>
      <x:c r="D14" s="22" t="str">
        <x:v>Patient</x:v>
      </x:c>
      <x:c r="E14" s="22" t="str">
        <x:v>Process confirmation, cancellation, rescheduling and reminder events</x:v>
      </x:c>
      <x:c r="F14" s="22" t="str">
        <x:v>A pending notification event exists in the outbox</x:v>
      </x:c>
      <x:c r="G14" s="22" t="str">
        <x:v>Delivery outcome is recorded</x:v>
      </x:c>
      <x:c r="H14" s="22" t="str">
        <x:v>Appointment status remains unchanged even if delivery fails</x:v>
      </x:c>
      <x:c r="I14" s="22" t="str">
        <x:v>Should</x:v>
      </x:c>
      <x:c r="J14" s="22" t="str">
        <x:v>NFR-7.1; NFR-3.1</x:v>
      </x:c>
    </x:row>
    <x:row r="15" ht="41" customHeight="1">
      <x:c r="A15" s="22" t="str">
        <x:v>UC-12</x:v>
      </x:c>
      <x:c r="B15" s="22" t="str">
        <x:v>Generate Reports and Review Audit Logs</x:v>
      </x:c>
      <x:c r="C15" s="22" t="str">
        <x:v>Administrator</x:v>
      </x:c>
      <x:c r="D15" s="22" t="str">
        <x:v>—</x:v>
      </x:c>
      <x:c r="E15" s="22" t="str">
        <x:v>Summarize appointment status and review recorded user actions</x:v>
      </x:c>
      <x:c r="F15" s="22" t="str">
        <x:v>Administrator is signed in</x:v>
      </x:c>
      <x:c r="G15" s="22" t="str">
        <x:v>Summary and audit history are available</x:v>
      </x:c>
      <x:c r="H15" s="22" t="str">
        <x:v>Users without privileges are denied access</x:v>
      </x:c>
      <x:c r="I15" s="22" t="str">
        <x:v>Should</x:v>
      </x:c>
      <x:c r="J15" s="22" t="str">
        <x:v>NFR-6.1; NFR-3.1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35" customHeight="1">
      <x:c r="A1" s="4" t="str">
        <x:v>HOAS | 06_NFR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STEP 5/8 | Ten measurable non-functional targets; some require a deployed environment to test</x:v>
      </x:c>
      <x:c r="B2" s="10"/>
      <x:c r="C2" s="10"/>
      <x:c r="D2" s="10"/>
      <x:c r="E2" s="10"/>
      <x:c r="F2" s="10"/>
      <x:c r="G2" s="10"/>
      <x:c r="H2" s="10"/>
    </x:row>
    <x:row r="3" ht="38" customHeight="1">
      <x:c r="A3" s="17" t="str">
        <x:v>NFR ID</x:v>
      </x:c>
      <x:c r="B3" s="17" t="str">
        <x:v>ISO quality category</x:v>
      </x:c>
      <x:c r="C3" s="17" t="str">
        <x:v>Measurable criterion</x:v>
      </x:c>
      <x:c r="D3" s="17" t="str">
        <x:v>Priority</x:v>
      </x:c>
      <x:c r="E3" s="17" t="str">
        <x:v>Method</x:v>
      </x:c>
      <x:c r="F3" s="17" t="str">
        <x:v>Source</x:v>
      </x:c>
      <x:c r="G3" s="17" t="str">
        <x:v>Status</x:v>
      </x:c>
      <x:c r="H3" s="17" t="str">
        <x:v>Owner</x:v>
      </x:c>
    </x:row>
    <x:row r="4" ht="41" customHeight="1">
      <x:c r="A4" s="22" t="str">
        <x:v>NFR-1.1</x:v>
      </x:c>
      <x:c r="B4" s="22" t="str">
        <x:v>Performance</x:v>
      </x:c>
      <x:c r="C4" s="22" t="str">
        <x:v>During a load test with 200 concurrent sessions, at least 95% of available-slot searches shall respond within 3 seconds.</x:v>
      </x:c>
      <x:c r="D4" s="22" t="str">
        <x:v>Must</x:v>
      </x:c>
      <x:c r="E4" s="22" t="str">
        <x:v>Load test 200 users / 95th percentile</x:v>
      </x:c>
      <x:c r="F4" s="22" t="str">
        <x:v>STK-04</x:v>
      </x:c>
      <x:c r="G4" s="22" t="str">
        <x:v>Proposed (case study)</x:v>
      </x:c>
      <x:c r="H4" s="22" t="str">
        <x:v>Vuong Nguyen Manh Kien</x:v>
      </x:c>
    </x:row>
    <x:row r="5" ht="41" customHeight="1">
      <x:c r="A5" s="22" t="str">
        <x:v>NFR-1.2</x:v>
      </x:c>
      <x:c r="B5" s="22" t="str">
        <x:v>Performance</x:v>
      </x:c>
      <x:c r="C5" s="22" t="str">
        <x:v>At 100 booking requests per minute, at least 95% of confirmations shall finish within 5 seconds.</x:v>
      </x:c>
      <x:c r="D5" s="22" t="str">
        <x:v>Should</x:v>
      </x:c>
      <x:c r="E5" s="22" t="str">
        <x:v>Performance test p95</x:v>
      </x:c>
      <x:c r="F5" s="22" t="str">
        <x:v>STK-04</x:v>
      </x:c>
      <x:c r="G5" s="22" t="str">
        <x:v>Proposed (case study)</x:v>
      </x:c>
      <x:c r="H5" s="22" t="str">
        <x:v>Vuong Nguyen Manh Kien</x:v>
      </x:c>
    </x:row>
    <x:row r="6" ht="41" customHeight="1">
      <x:c r="A6" s="22" t="str">
        <x:v>NFR-2.1</x:v>
      </x:c>
      <x:c r="B6" s="22" t="str">
        <x:v>Reliability</x:v>
      </x:c>
      <x:c r="C6" s="22" t="str">
        <x:v>With 100 concurrent requests for a slot with capacity 1, the system shall create no more than one Confirmed booking.</x:v>
      </x:c>
      <x:c r="D6" s="22" t="str">
        <x:v>Must</x:v>
      </x:c>
      <x:c r="E6" s="22" t="str">
        <x:v>Concurrency test 100 threads</x:v>
      </x:c>
      <x:c r="F6" s="22" t="str">
        <x:v>STK-04</x:v>
      </x:c>
      <x:c r="G6" s="22" t="str">
        <x:v>Proposed (case study)</x:v>
      </x:c>
      <x:c r="H6" s="22" t="str">
        <x:v>Vuong Nguyen Manh Kien</x:v>
      </x:c>
    </x:row>
    <x:row r="7" ht="41" customHeight="1">
      <x:c r="A7" s="22" t="str">
        <x:v>NFR-2.2</x:v>
      </x:c>
      <x:c r="B7" s="22" t="str">
        <x:v>Reliability</x:v>
      </x:c>
      <x:c r="C7" s="22" t="str">
        <x:v>For 100% of simulated rescheduling transaction failures, the original appointment and its slot allocation shall remain intact.</x:v>
      </x:c>
      <x:c r="D7" s="22" t="str">
        <x:v>Must</x:v>
      </x:c>
      <x:c r="E7" s="22" t="str">
        <x:v>Fault-injection tests</x:v>
      </x:c>
      <x:c r="F7" s="22" t="str">
        <x:v>STK-04</x:v>
      </x:c>
      <x:c r="G7" s="22" t="str">
        <x:v>Proposed (case study)</x:v>
      </x:c>
      <x:c r="H7" s="22" t="str">
        <x:v>Vuong Nguyen Manh Kien</x:v>
      </x:c>
    </x:row>
    <x:row r="8" ht="41" customHeight="1">
      <x:c r="A8" s="22" t="str">
        <x:v>NFR-3.1</x:v>
      </x:c>
      <x:c r="B8" s="22" t="str">
        <x:v>Security</x:v>
      </x:c>
      <x:c r="C8" s="22" t="str">
        <x:v>Every request to read or modify private bookings shall check ownership or authorized staff role.</x:v>
      </x:c>
      <x:c r="D8" s="22" t="str">
        <x:v>Must</x:v>
      </x:c>
      <x:c r="E8" s="22" t="str">
        <x:v>Negative authorization tests</x:v>
      </x:c>
      <x:c r="F8" s="22" t="str">
        <x:v>STK-06</x:v>
      </x:c>
      <x:c r="G8" s="22" t="str">
        <x:v>Proposed (case study)</x:v>
      </x:c>
      <x:c r="H8" s="22" t="str">
        <x:v>Vuong Nguyen Manh Kien</x:v>
      </x:c>
    </x:row>
    <x:row r="9" ht="41" customHeight="1">
      <x:c r="A9" s="22" t="str">
        <x:v>NFR-3.2</x:v>
      </x:c>
      <x:c r="B9" s="22" t="str">
        <x:v>Security</x:v>
      </x:c>
      <x:c r="C9" s="22" t="str">
        <x:v>All personal data transmitted through web interfaces shall be protected with TLS version 1.2 or above.</x:v>
      </x:c>
      <x:c r="D9" s="22" t="str">
        <x:v>Must</x:v>
      </x:c>
      <x:c r="E9" s="22" t="str">
        <x:v>TLS configuration inspection (not executed)</x:v>
      </x:c>
      <x:c r="F9" s="22" t="str">
        <x:v>STK-06</x:v>
      </x:c>
      <x:c r="G9" s="22" t="str">
        <x:v>Proposed (case study)</x:v>
      </x:c>
      <x:c r="H9" s="22" t="str">
        <x:v>Vuong Nguyen Manh Kien</x:v>
      </x:c>
    </x:row>
    <x:row r="10" ht="41" customHeight="1">
      <x:c r="A10" s="22" t="str">
        <x:v>NFR-4.1</x:v>
      </x:c>
      <x:c r="B10" s="22" t="str">
        <x:v>Availability</x:v>
      </x:c>
      <x:c r="C10" s="22" t="str">
        <x:v>Target monthly system availability shall be at least 99.5%, excluding announced maintenance.</x:v>
      </x:c>
      <x:c r="D10" s="22" t="str">
        <x:v>Should</x:v>
      </x:c>
      <x:c r="E10" s="22" t="str">
        <x:v>Operational monitoring (not executed)</x:v>
      </x:c>
      <x:c r="F10" s="22" t="str">
        <x:v>STK-05</x:v>
      </x:c>
      <x:c r="G10" s="22" t="str">
        <x:v>Proposed (case study)</x:v>
      </x:c>
      <x:c r="H10" s="22" t="str">
        <x:v>Vuong Nguyen Manh Kien</x:v>
      </x:c>
    </x:row>
    <x:row r="11" ht="41" customHeight="1">
      <x:c r="A11" s="22" t="str">
        <x:v>NFR-5.1</x:v>
      </x:c>
      <x:c r="B11" s="22" t="str">
        <x:v>Usability</x:v>
      </x:c>
      <x:c r="C11" s="22" t="str">
        <x:v>In a usability test of ten new users, at least nine shall independently complete a booking within five minutes.</x:v>
      </x:c>
      <x:c r="D11" s="22" t="str">
        <x:v>Should</x:v>
      </x:c>
      <x:c r="E11" s="22" t="str">
        <x:v>User study (not executed)</x:v>
      </x:c>
      <x:c r="F11" s="22" t="str">
        <x:v>STK-01</x:v>
      </x:c>
      <x:c r="G11" s="22" t="str">
        <x:v>Proposed (case study)</x:v>
      </x:c>
      <x:c r="H11" s="22" t="str">
        <x:v>Vuong Nguyen Manh Kien</x:v>
      </x:c>
    </x:row>
    <x:row r="12" ht="41" customHeight="1">
      <x:c r="A12" s="22" t="str">
        <x:v>NFR-6.1</x:v>
      </x:c>
      <x:c r="B12" s="22" t="str">
        <x:v>Auditability</x:v>
      </x:c>
      <x:c r="C12" s="22" t="str">
        <x:v>Every successful create, cancel, reschedule or physician schedule update shall produce an audit entry.</x:v>
      </x:c>
      <x:c r="D12" s="22" t="str">
        <x:v>Must</x:v>
      </x:c>
      <x:c r="E12" s="22" t="str">
        <x:v>Audit log test</x:v>
      </x:c>
      <x:c r="F12" s="22" t="str">
        <x:v>STK-06</x:v>
      </x:c>
      <x:c r="G12" s="22" t="str">
        <x:v>Proposed (case study)</x:v>
      </x:c>
      <x:c r="H12" s="22" t="str">
        <x:v>Vuong Nguyen Manh Kien</x:v>
      </x:c>
    </x:row>
    <x:row r="13" ht="41" customHeight="1">
      <x:c r="A13" s="22" t="str">
        <x:v>NFR-7.1</x:v>
      </x:c>
      <x:c r="B13" s="22" t="str">
        <x:v>Resilience</x:v>
      </x:c>
      <x:c r="C13" s="22" t="str">
        <x:v>When the notification provider fails, all valid Confirmed bookings shall remain and a retryable event shall be stored.</x:v>
      </x:c>
      <x:c r="D13" s="22" t="str">
        <x:v>Should</x:v>
      </x:c>
      <x:c r="E13" s="22" t="str">
        <x:v>Notification outage test</x:v>
      </x:c>
      <x:c r="F13" s="22" t="str">
        <x:v>STK-05</x:v>
      </x:c>
      <x:c r="G13" s="22" t="str">
        <x:v>Proposed (case study)</x:v>
      </x:c>
      <x:c r="H13" s="22" t="str">
        <x:v>Vuong Nguyen Manh Kien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</x:cols>
  <x:sheetData>
    <x:row r="1" ht="35" customHeight="1">
      <x:c r="A1" s="4" t="str">
        <x:v>HOAS | 07_Hazards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10" t="str">
        <x:v>STEP 6/8 | 6 risk scenarios; qualitative risk based on hypothetical severity / likelihood</x:v>
      </x:c>
      <x:c r="B2" s="10"/>
      <x:c r="C2" s="10"/>
      <x:c r="D2" s="10"/>
      <x:c r="E2" s="10"/>
      <x:c r="F2" s="10"/>
      <x:c r="G2" s="10"/>
      <x:c r="H2" s="10"/>
      <x:c r="I2" s="10"/>
    </x:row>
    <x:row r="3" ht="38" customHeight="1">
      <x:c r="A3" s="17" t="str">
        <x:v>Hazard ID</x:v>
      </x:c>
      <x:c r="B3" s="17" t="str">
        <x:v>Name</x:v>
      </x:c>
      <x:c r="C3" s="17" t="str">
        <x:v>Cause</x:v>
      </x:c>
      <x:c r="D3" s="17" t="str">
        <x:v>Severity</x:v>
      </x:c>
      <x:c r="E3" s="17" t="str">
        <x:v>Likelihood</x:v>
      </x:c>
      <x:c r="F3" s="17" t="str">
        <x:v>Risk</x:v>
      </x:c>
      <x:c r="G3" s="17" t="str">
        <x:v>Mitigation</x:v>
      </x:c>
      <x:c r="H3" s="17" t="str">
        <x:v>Linked requirement</x:v>
      </x:c>
      <x:c r="I3" s="17" t="str">
        <x:v>Test evidence</x:v>
      </x:c>
    </x:row>
    <x:row r="4" ht="41" customHeight="1">
      <x:c r="A4" s="22" t="str">
        <x:v>HZ-01</x:v>
      </x:c>
      <x:c r="B4" s="22" t="str">
        <x:v>Overbooking</x:v>
      </x:c>
      <x:c r="C4" s="22" t="str">
        <x:v>Two patients same final slot</x:v>
      </x:c>
      <x:c r="D4" s="22" t="str">
        <x:v>High</x:v>
      </x:c>
      <x:c r="E4" s="22" t="str">
        <x:v>Medium</x:v>
      </x:c>
      <x:c r="F4" s="22" t="str">
        <x:v>High</x:v>
      </x:c>
      <x:c r="G4" s="22" t="str">
        <x:v>Atomic lock/transaction; capacity guard</x:v>
      </x:c>
      <x:c r="H4" s="22" t="str">
        <x:v>FR-4.1.2</x:v>
      </x:c>
      <x:c r="I4" s="22" t="str">
        <x:v>TC-015; TC-016</x:v>
      </x:c>
    </x:row>
    <x:row r="5" ht="41" customHeight="1">
      <x:c r="A5" s="22" t="str">
        <x:v>HZ-02</x:v>
      </x:c>
      <x:c r="B5" s="22" t="str">
        <x:v>Personal data disclosure</x:v>
      </x:c>
      <x:c r="C5" s="22" t="str">
        <x:v>Wrong permission checks</x:v>
      </x:c>
      <x:c r="D5" s="22" t="str">
        <x:v>High</x:v>
      </x:c>
      <x:c r="E5" s="22" t="str">
        <x:v>Medium</x:v>
      </x:c>
      <x:c r="F5" s="22" t="str">
        <x:v>High</x:v>
      </x:c>
      <x:c r="G5" s="22" t="str">
        <x:v>Owner/role enforcement</x:v>
      </x:c>
      <x:c r="H5" s="22" t="str">
        <x:v>NFR-3.1</x:v>
      </x:c>
      <x:c r="I5" s="22" t="str">
        <x:v>TC-020; TC-036; TC-050</x:v>
      </x:c>
    </x:row>
    <x:row r="6" ht="41" customHeight="1">
      <x:c r="A6" s="22" t="str">
        <x:v>HZ-03</x:v>
      </x:c>
      <x:c r="B6" s="22" t="str">
        <x:v>Wrong check-in</x:v>
      </x:c>
      <x:c r="C6" s="22" t="str">
        <x:v>Invalid/duplicate code</x:v>
      </x:c>
      <x:c r="D6" s="22" t="str">
        <x:v>Medium</x:v>
      </x:c>
      <x:c r="E6" s="22" t="str">
        <x:v>Medium</x:v>
      </x:c>
      <x:c r="F6" s="22" t="str">
        <x:v>Medium</x:v>
      </x:c>
      <x:c r="G6" s="22" t="str">
        <x:v>State guard and identity verification</x:v>
      </x:c>
      <x:c r="H6" s="22" t="str">
        <x:v>FR-8.1.2</x:v>
      </x:c>
      <x:c r="I6" s="22" t="str">
        <x:v>TC-032; TC-033</x:v>
      </x:c>
    </x:row>
    <x:row r="7" ht="41" customHeight="1">
      <x:c r="A7" s="22" t="str">
        <x:v>HZ-04</x:v>
      </x:c>
      <x:c r="B7" s="22" t="str">
        <x:v>Doctor absence unhandled</x:v>
      </x:c>
      <x:c r="C7" s="22" t="str">
        <x:v>Schedule change ignored</x:v>
      </x:c>
      <x:c r="D7" s="22" t="str">
        <x:v>High</x:v>
      </x:c>
      <x:c r="E7" s="22" t="str">
        <x:v>Medium</x:v>
      </x:c>
      <x:c r="F7" s="22" t="str">
        <x:v>High</x:v>
      </x:c>
      <x:c r="G7" s="22" t="str">
        <x:v>Flag impacted bookings, staff action</x:v>
      </x:c>
      <x:c r="H7" s="22" t="str">
        <x:v>FR-10.1.2</x:v>
      </x:c>
      <x:c r="I7" s="22" t="str">
        <x:v>TC-042</x:v>
      </x:c>
    </x:row>
    <x:row r="8" ht="41" customHeight="1">
      <x:c r="A8" s="22" t="str">
        <x:v>HZ-05</x:v>
      </x:c>
      <x:c r="B8" s="22" t="str">
        <x:v>Lost appointment on reschedule</x:v>
      </x:c>
      <x:c r="C8" s="22" t="str">
        <x:v>Non-atomic slot movement</x:v>
      </x:c>
      <x:c r="D8" s="22" t="str">
        <x:v>High</x:v>
      </x:c>
      <x:c r="E8" s="22" t="str">
        <x:v>Low</x:v>
      </x:c>
      <x:c r="F8" s="22" t="str">
        <x:v>Medium</x:v>
      </x:c>
      <x:c r="G8" s="22" t="str">
        <x:v>Rollback + invariants</x:v>
      </x:c>
      <x:c r="H8" s="22" t="str">
        <x:v>FR-7.1.2</x:v>
      </x:c>
      <x:c r="I8" s="22" t="str">
        <x:v>TC-030</x:v>
      </x:c>
    </x:row>
    <x:row r="9" ht="41" customHeight="1">
      <x:c r="A9" s="22" t="str">
        <x:v>HZ-06</x:v>
      </x:c>
      <x:c r="B9" s="22" t="str">
        <x:v>Notification outage</x:v>
      </x:c>
      <x:c r="C9" s="22" t="str">
        <x:v>External provider down</x:v>
      </x:c>
      <x:c r="D9" s="22" t="str">
        <x:v>Medium</x:v>
      </x:c>
      <x:c r="E9" s="22" t="str">
        <x:v>High</x:v>
      </x:c>
      <x:c r="F9" s="22" t="str">
        <x:v>Medium</x:v>
      </x:c>
      <x:c r="G9" s="22" t="str">
        <x:v>Outbox retry</x:v>
      </x:c>
      <x:c r="H9" s="22" t="str">
        <x:v>NFR-7.1</x:v>
      </x:c>
      <x:c r="I9" s="22" t="str">
        <x:v>TC-046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45" hidden="0" customWidth="1"/>
    <x:col min="9" max="9" width="37" hidden="0" customWidth="1"/>
    <x:col min="10" max="10" width="40" hidden="0" customWidth="1"/>
    <x:col min="11" max="11" width="30" hidden="0" customWidth="1"/>
    <x:col min="12" max="12" width="44" hidden="0" customWidth="1"/>
    <x:col min="13" max="13" width="38" hidden="0" customWidth="1"/>
  </x:cols>
  <x:sheetData>
    <x:row r="1" ht="35" customHeight="1">
      <x:c r="A1" s="4" t="str">
        <x:v>HOAS | 08_Test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10" t="str">
        <x:v>STEP 7/8 | Prototype data-driven execution of 50 planned cases. JSON and CSV evidence; no production / NFR validation.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38" customHeight="1">
      <x:c r="A3" s="17" t="str">
        <x:v>Test ID</x:v>
      </x:c>
      <x:c r="B3" s="17" t="str">
        <x:v>Test Class</x:v>
      </x:c>
      <x:c r="C3" s="17" t="str">
        <x:v>Scenario</x:v>
      </x:c>
      <x:c r="D3" s="17" t="str">
        <x:v>Requirement</x:v>
      </x:c>
      <x:c r="E3" s="17" t="str">
        <x:v>Use Case</x:v>
      </x:c>
      <x:c r="F3" s="17" t="str">
        <x:v>Test objective</x:v>
      </x:c>
      <x:c r="G3" s="17" t="str">
        <x:v>Test approach</x:v>
      </x:c>
      <x:c r="H3" s="17" t="str">
        <x:v>Inputs</x:v>
      </x:c>
      <x:c r="I3" s="17" t="str">
        <x:v>Expected</x:v>
      </x:c>
      <x:c r="J3" s="17" t="str">
        <x:v>Actual (prototype)</x:v>
      </x:c>
      <x:c r="K3" s="17" t="str">
        <x:v>JSON / CSV</x:v>
      </x:c>
      <x:c r="L3" s="17" t="str">
        <x:v>Evidence files</x:v>
      </x:c>
      <x:c r="M3" s="17" t="str">
        <x:v>Limit</x:v>
      </x:c>
    </x:row>
    <x:row r="4" ht="53" customHeight="1">
      <x:c r="A4" s="22" t="str">
        <x:v>TC-001</x:v>
      </x:c>
      <x:c r="B4" s="22" t="str">
        <x:v>Valid</x:v>
      </x:c>
      <x:c r="C4" s="22" t="str">
        <x:v>SC-15</x:v>
      </x:c>
      <x:c r="D4" s="22" t="str">
        <x:v>FR-1.1.1</x:v>
      </x:c>
      <x:c r="E4" s="22" t="str">
        <x:v>UC-01</x:v>
      </x:c>
      <x:c r="F4" s="22" t="str">
        <x:v>Valid registration</x:v>
      </x:c>
      <x:c r="G4" s="22" t="str">
        <x:v>Data-driven prototype (JSON / CSV)</x:v>
      </x:c>
      <x:c r="H4" s="22" t="str">
        <x:v>09_Data_Driven_Testing/input/test_cases_input.json; 09_Data_Driven_Testing/input/test_cases_input.csv</x:v>
      </x:c>
      <x:c r="I4" s="22" t="str">
        <x:v>Patient account is created</x:v>
      </x:c>
      <x:c r="J4" s="22" t="str">
        <x:v>All input-driven actions and output assertions matched.</x:v>
      </x:c>
      <x:c r="K4" s="22" t="str">
        <x:v>PASS / PASS</x:v>
      </x:c>
      <x:c r="L4" s="22" t="str">
        <x:v>09_Data_Driven_Testing/results/json_all_comparison.csv; 09_Data_Driven_Testing/results/csv_all_comparison.csv</x:v>
      </x:c>
      <x:c r="M4" s="22" t="str">
        <x:v>PROTOTYPE ONLY — real-system/NFR validation pending</x:v>
      </x:c>
    </x:row>
    <x:row r="5" ht="53" customHeight="1">
      <x:c r="A5" s="22" t="str">
        <x:v>TC-002</x:v>
      </x:c>
      <x:c r="B5" s="22" t="str">
        <x:v>Invalid</x:v>
      </x:c>
      <x:c r="C5" s="22" t="str">
        <x:v>SC-15</x:v>
      </x:c>
      <x:c r="D5" s="22" t="str">
        <x:v>FR-1.1.2</x:v>
      </x:c>
      <x:c r="E5" s="22" t="str">
        <x:v>UC-01</x:v>
      </x:c>
      <x:c r="F5" s="22" t="str">
        <x:v>Missing date of birth</x:v>
      </x:c>
      <x:c r="G5" s="22" t="str">
        <x:v>Data-driven prototype (JSON / CSV)</x:v>
      </x:c>
      <x:c r="H5" s="22" t="str">
        <x:v>09_Data_Driven_Testing/input/test_cases_input.json; 09_Data_Driven_Testing/input/test_cases_input.csv</x:v>
      </x:c>
      <x:c r="I5" s="22" t="str">
        <x:v>Registration is rejected with a missing-field indication</x:v>
      </x:c>
      <x:c r="J5" s="22" t="str">
        <x:v>All input-driven actions and output assertions matched.</x:v>
      </x:c>
      <x:c r="K5" s="22" t="str">
        <x:v>PASS / PASS</x:v>
      </x:c>
      <x:c r="L5" s="22" t="str">
        <x:v>09_Data_Driven_Testing/results/json_all_comparison.csv; 09_Data_Driven_Testing/results/csv_all_comparison.csv</x:v>
      </x:c>
      <x:c r="M5" s="22" t="str">
        <x:v>PROTOTYPE ONLY — real-system/NFR validation pending</x:v>
      </x:c>
    </x:row>
    <x:row r="6" ht="53" customHeight="1">
      <x:c r="A6" s="22" t="str">
        <x:v>TC-003</x:v>
      </x:c>
      <x:c r="B6" s="22" t="str">
        <x:v>Invalid</x:v>
      </x:c>
      <x:c r="C6" s="22" t="str">
        <x:v>SC-15</x:v>
      </x:c>
      <x:c r="D6" s="22" t="str">
        <x:v>FR-1.1.2</x:v>
      </x:c>
      <x:c r="E6" s="22" t="str">
        <x:v>UC-01</x:v>
      </x:c>
      <x:c r="F6" s="22" t="str">
        <x:v>Duplicate phone number</x:v>
      </x:c>
      <x:c r="G6" s="22" t="str">
        <x:v>Data-driven prototype (JSON / CSV)</x:v>
      </x:c>
      <x:c r="H6" s="22" t="str">
        <x:v>09_Data_Driven_Testing/input/test_cases_input.json; 09_Data_Driven_Testing/input/test_cases_input.csv</x:v>
      </x:c>
      <x:c r="I6" s="22" t="str">
        <x:v>Duplicate account creation is rejected</x:v>
      </x:c>
      <x:c r="J6" s="22" t="str">
        <x:v>All input-driven actions and output assertions matched.</x:v>
      </x:c>
      <x:c r="K6" s="22" t="str">
        <x:v>PASS / PASS</x:v>
      </x:c>
      <x:c r="L6" s="22" t="str">
        <x:v>09_Data_Driven_Testing/results/json_all_comparison.csv; 09_Data_Driven_Testing/results/csv_all_comparison.csv</x:v>
      </x:c>
      <x:c r="M6" s="22" t="str">
        <x:v>PROTOTYPE ONLY — real-system/NFR validation pending</x:v>
      </x:c>
    </x:row>
    <x:row r="7" ht="53" customHeight="1">
      <x:c r="A7" s="22" t="str">
        <x:v>TC-004</x:v>
      </x:c>
      <x:c r="B7" s="22" t="str">
        <x:v>Valid</x:v>
      </x:c>
      <x:c r="C7" s="22" t="str">
        <x:v>SC-15</x:v>
      </x:c>
      <x:c r="D7" s="22" t="str">
        <x:v>FR-1.1.3</x:v>
      </x:c>
      <x:c r="E7" s="22" t="str">
        <x:v>UC-01</x:v>
      </x:c>
      <x:c r="F7" s="22" t="str">
        <x:v>Valid sign-in</x:v>
      </x:c>
      <x:c r="G7" s="22" t="str">
        <x:v>Data-driven prototype (JSON / CSV)</x:v>
      </x:c>
      <x:c r="H7" s="22" t="str">
        <x:v>09_Data_Driven_Testing/input/test_cases_input.json; 09_Data_Driven_Testing/input/test_cases_input.csv</x:v>
      </x:c>
      <x:c r="I7" s="22" t="str">
        <x:v>A session with the correct role is created</x:v>
      </x:c>
      <x:c r="J7" s="22" t="str">
        <x:v>All input-driven actions and output assertions matched.</x:v>
      </x:c>
      <x:c r="K7" s="22" t="str">
        <x:v>PASS / PASS</x:v>
      </x:c>
      <x:c r="L7" s="22" t="str">
        <x:v>09_Data_Driven_Testing/results/json_all_comparison.csv; 09_Data_Driven_Testing/results/csv_all_comparison.csv</x:v>
      </x:c>
      <x:c r="M7" s="22" t="str">
        <x:v>PROTOTYPE ONLY — real-system/NFR validation pending</x:v>
      </x:c>
    </x:row>
    <x:row r="8" ht="53" customHeight="1">
      <x:c r="A8" s="22" t="str">
        <x:v>TC-005</x:v>
      </x:c>
      <x:c r="B8" s="22" t="str">
        <x:v>Invalid</x:v>
      </x:c>
      <x:c r="C8" s="22" t="str">
        <x:v>SC-15</x:v>
      </x:c>
      <x:c r="D8" s="22" t="str">
        <x:v>FR-1.1.3</x:v>
      </x:c>
      <x:c r="E8" s="22" t="str">
        <x:v>UC-01</x:v>
      </x:c>
      <x:c r="F8" s="22" t="str">
        <x:v>Incorrect password</x:v>
      </x:c>
      <x:c r="G8" s="22" t="str">
        <x:v>Data-driven prototype (JSON / CSV)</x:v>
      </x:c>
      <x:c r="H8" s="22" t="str">
        <x:v>09_Data_Driven_Testing/input/test_cases_input.json; 09_Data_Driven_Testing/input/test_cases_input.csv</x:v>
      </x:c>
      <x:c r="I8" s="22" t="str">
        <x:v>No session is created</x:v>
      </x:c>
      <x:c r="J8" s="22" t="str">
        <x:v>All input-driven actions and output assertions matched.</x:v>
      </x:c>
      <x:c r="K8" s="22" t="str">
        <x:v>PASS / PASS</x:v>
      </x:c>
      <x:c r="L8" s="22" t="str">
        <x:v>09_Data_Driven_Testing/results/json_all_comparison.csv; 09_Data_Driven_Testing/results/csv_all_comparison.csv</x:v>
      </x:c>
      <x:c r="M8" s="22" t="str">
        <x:v>PROTOTYPE ONLY — real-system/NFR validation pending</x:v>
      </x:c>
    </x:row>
    <x:row r="9" ht="53" customHeight="1">
      <x:c r="A9" s="22" t="str">
        <x:v>TC-006</x:v>
      </x:c>
      <x:c r="B9" s="22" t="str">
        <x:v>Valid</x:v>
      </x:c>
      <x:c r="C9" s="22" t="str">
        <x:v>SC-16</x:v>
      </x:c>
      <x:c r="D9" s="22" t="str">
        <x:v>FR-2.1.1</x:v>
      </x:c>
      <x:c r="E9" s="22" t="str">
        <x:v>UC-02</x:v>
      </x:c>
      <x:c r="F9" s="22" t="str">
        <x:v>View own profile</x:v>
      </x:c>
      <x:c r="G9" s="22" t="str">
        <x:v>Data-driven prototype (JSON / CSV)</x:v>
      </x:c>
      <x:c r="H9" s="22" t="str">
        <x:v>09_Data_Driven_Testing/input/test_cases_input.json; 09_Data_Driven_Testing/input/test_cases_input.csv</x:v>
      </x:c>
      <x:c r="I9" s="22" t="str">
        <x:v>Only the authenticated patient’s information is displayed</x:v>
      </x:c>
      <x:c r="J9" s="22" t="str">
        <x:v>All input-driven actions and output assertions matched.</x:v>
      </x:c>
      <x:c r="K9" s="22" t="str">
        <x:v>PASS / PASS</x:v>
      </x:c>
      <x:c r="L9" s="22" t="str">
        <x:v>09_Data_Driven_Testing/results/json_all_comparison.csv; 09_Data_Driven_Testing/results/csv_all_comparison.csv</x:v>
      </x:c>
      <x:c r="M9" s="22" t="str">
        <x:v>PROTOTYPE ONLY — real-system/NFR validation pending</x:v>
      </x:c>
    </x:row>
    <x:row r="10" ht="53" customHeight="1">
      <x:c r="A10" s="22" t="str">
        <x:v>TC-007</x:v>
      </x:c>
      <x:c r="B10" s="22" t="str">
        <x:v>Valid</x:v>
      </x:c>
      <x:c r="C10" s="22" t="str">
        <x:v>SC-16</x:v>
      </x:c>
      <x:c r="D10" s="22" t="str">
        <x:v>FR-2.1.2</x:v>
      </x:c>
      <x:c r="E10" s="22" t="str">
        <x:v>UC-02</x:v>
      </x:c>
      <x:c r="F10" s="22" t="str">
        <x:v>Update address</x:v>
      </x:c>
      <x:c r="G10" s="22" t="str">
        <x:v>Data-driven prototype (JSON / CSV)</x:v>
      </x:c>
      <x:c r="H10" s="22" t="str">
        <x:v>09_Data_Driven_Testing/input/test_cases_input.json; 09_Data_Driven_Testing/input/test_cases_input.csv</x:v>
      </x:c>
      <x:c r="I10" s="22" t="str">
        <x:v>New address is saved</x:v>
      </x:c>
      <x:c r="J10" s="22" t="str">
        <x:v>All input-driven actions and output assertions matched.</x:v>
      </x:c>
      <x:c r="K10" s="22" t="str">
        <x:v>PASS / PASS</x:v>
      </x:c>
      <x:c r="L10" s="22" t="str">
        <x:v>09_Data_Driven_Testing/results/json_all_comparison.csv; 09_Data_Driven_Testing/results/csv_all_comparison.csv</x:v>
      </x:c>
      <x:c r="M10" s="22" t="str">
        <x:v>PROTOTYPE ONLY — real-system/NFR validation pending</x:v>
      </x:c>
    </x:row>
    <x:row r="11" ht="53" customHeight="1">
      <x:c r="A11" s="22" t="str">
        <x:v>TC-008</x:v>
      </x:c>
      <x:c r="B11" s="22" t="str">
        <x:v>Invalid</x:v>
      </x:c>
      <x:c r="C11" s="22" t="str">
        <x:v>SC-16</x:v>
      </x:c>
      <x:c r="D11" s="22" t="str">
        <x:v>FR-2.1.2</x:v>
      </x:c>
      <x:c r="E11" s="22" t="str">
        <x:v>UC-02</x:v>
      </x:c>
      <x:c r="F11" s="22" t="str">
        <x:v>Invalid contact information</x:v>
      </x:c>
      <x:c r="G11" s="22" t="str">
        <x:v>Data-driven prototype (JSON / CSV)</x:v>
      </x:c>
      <x:c r="H11" s="22" t="str">
        <x:v>09_Data_Driven_Testing/input/test_cases_input.json; 09_Data_Driven_Testing/input/test_cases_input.csv</x:v>
      </x:c>
      <x:c r="I11" s="22" t="str">
        <x:v>Profile is unchanged</x:v>
      </x:c>
      <x:c r="J11" s="22" t="str">
        <x:v>All input-driven actions and output assertions matched.</x:v>
      </x:c>
      <x:c r="K11" s="22" t="str">
        <x:v>PASS / PASS</x:v>
      </x:c>
      <x:c r="L11" s="22" t="str">
        <x:v>09_Data_Driven_Testing/results/json_all_comparison.csv; 09_Data_Driven_Testing/results/csv_all_comparison.csv</x:v>
      </x:c>
      <x:c r="M11" s="22" t="str">
        <x:v>PROTOTYPE ONLY — real-system/NFR validation pending</x:v>
      </x:c>
    </x:row>
    <x:row r="12" ht="53" customHeight="1">
      <x:c r="A12" s="22" t="str">
        <x:v>TC-009</x:v>
      </x:c>
      <x:c r="B12" s="22" t="str">
        <x:v>Valid</x:v>
      </x:c>
      <x:c r="C12" s="22" t="str">
        <x:v>SC-01</x:v>
      </x:c>
      <x:c r="D12" s="22" t="str">
        <x:v>FR-3.1.1</x:v>
      </x:c>
      <x:c r="E12" s="22" t="str">
        <x:v>UC-03</x:v>
      </x:c>
      <x:c r="F12" s="22" t="str">
        <x:v>Search Gastroenterology</x:v>
      </x:c>
      <x:c r="G12" s="22" t="str">
        <x:v>Data-driven prototype (JSON / CSV)</x:v>
      </x:c>
      <x:c r="H12" s="22" t="str">
        <x:v>09_Data_Driven_Testing/input/test_cases_input.json; 09_Data_Driven_Testing/input/test_cases_input.csv</x:v>
      </x:c>
      <x:c r="I12" s="22" t="str">
        <x:v>Only doctors in the selected specialty are returned</x:v>
      </x:c>
      <x:c r="J12" s="22" t="str">
        <x:v>All input-driven actions and output assertions matched.</x:v>
      </x:c>
      <x:c r="K12" s="22" t="str">
        <x:v>PASS / PASS</x:v>
      </x:c>
      <x:c r="L12" s="22" t="str">
        <x:v>09_Data_Driven_Testing/results/json_all_comparison.csv; 09_Data_Driven_Testing/results/csv_all_comparison.csv</x:v>
      </x:c>
      <x:c r="M12" s="22" t="str">
        <x:v>PROTOTYPE ONLY — real-system/NFR validation pending</x:v>
      </x:c>
    </x:row>
    <x:row r="13" ht="53" customHeight="1">
      <x:c r="A13" s="22" t="str">
        <x:v>TC-010</x:v>
      </x:c>
      <x:c r="B13" s="22" t="str">
        <x:v>Valid</x:v>
      </x:c>
      <x:c r="C13" s="22" t="str">
        <x:v>SC-01</x:v>
      </x:c>
      <x:c r="D13" s="22" t="str">
        <x:v>FR-3.1.2</x:v>
      </x:c>
      <x:c r="E13" s="22" t="str">
        <x:v>UC-03</x:v>
      </x:c>
      <x:c r="F13" s="22" t="str">
        <x:v>Available slot has capacity</x:v>
      </x:c>
      <x:c r="G13" s="22" t="str">
        <x:v>Data-driven prototype (JSON / CSV)</x:v>
      </x:c>
      <x:c r="H13" s="22" t="str">
        <x:v>09_Data_Driven_Testing/input/test_cases_input.json; 09_Data_Driven_Testing/input/test_cases_input.csv</x:v>
      </x:c>
      <x:c r="I13" s="22" t="str">
        <x:v>Remaining capacity is displayed</x:v>
      </x:c>
      <x:c r="J13" s="22" t="str">
        <x:v>All input-driven actions and output assertions matched.</x:v>
      </x:c>
      <x:c r="K13" s="22" t="str">
        <x:v>PASS / PASS</x:v>
      </x:c>
      <x:c r="L13" s="22" t="str">
        <x:v>09_Data_Driven_Testing/results/json_all_comparison.csv; 09_Data_Driven_Testing/results/csv_all_comparison.csv</x:v>
      </x:c>
      <x:c r="M13" s="22" t="str">
        <x:v>PROTOTYPE ONLY — real-system/NFR validation pending</x:v>
      </x:c>
    </x:row>
    <x:row r="14" ht="53" customHeight="1">
      <x:c r="A14" s="22" t="str">
        <x:v>TC-011</x:v>
      </x:c>
      <x:c r="B14" s="22" t="str">
        <x:v>Invalid</x:v>
      </x:c>
      <x:c r="C14" s="22" t="str">
        <x:v>SC-03</x:v>
      </x:c>
      <x:c r="D14" s="22" t="str">
        <x:v>FR-3.1.2</x:v>
      </x:c>
      <x:c r="E14" s="22" t="str">
        <x:v>UC-03</x:v>
      </x:c>
      <x:c r="F14" s="22" t="str">
        <x:v>Fully booked slot</x:v>
      </x:c>
      <x:c r="G14" s="22" t="str">
        <x:v>Data-driven prototype (JSON / CSV)</x:v>
      </x:c>
      <x:c r="H14" s="22" t="str">
        <x:v>09_Data_Driven_Testing/input/test_cases_input.json; 09_Data_Driven_Testing/input/test_cases_input.csv</x:v>
      </x:c>
      <x:c r="I14" s="22" t="str">
        <x:v>Full slot is not shown as eligible</x:v>
      </x:c>
      <x:c r="J14" s="22" t="str">
        <x:v>All input-driven actions and output assertions matched.</x:v>
      </x:c>
      <x:c r="K14" s="22" t="str">
        <x:v>PASS / PASS</x:v>
      </x:c>
      <x:c r="L14" s="22" t="str">
        <x:v>09_Data_Driven_Testing/results/json_all_comparison.csv; 09_Data_Driven_Testing/results/csv_all_comparison.csv</x:v>
      </x:c>
      <x:c r="M14" s="22" t="str">
        <x:v>PROTOTYPE ONLY — real-system/NFR validation pending</x:v>
      </x:c>
    </x:row>
    <x:row r="15" ht="53" customHeight="1">
      <x:c r="A15" s="22" t="str">
        <x:v>TC-012</x:v>
      </x:c>
      <x:c r="B15" s="22" t="str">
        <x:v>Alternate</x:v>
      </x:c>
      <x:c r="C15" s="22" t="str">
        <x:v>SC-03</x:v>
      </x:c>
      <x:c r="D15" s="22" t="str">
        <x:v>FR-3.1.3</x:v>
      </x:c>
      <x:c r="E15" s="22" t="str">
        <x:v>UC-03</x:v>
      </x:c>
      <x:c r="F15" s="22" t="str">
        <x:v>Date with no appointments</x:v>
      </x:c>
      <x:c r="G15" s="22" t="str">
        <x:v>Data-driven prototype (JSON / CSV)</x:v>
      </x:c>
      <x:c r="H15" s="22" t="str">
        <x:v>09_Data_Driven_Testing/input/test_cases_input.json; 09_Data_Driven_Testing/input/test_cases_input.csv</x:v>
      </x:c>
      <x:c r="I15" s="22" t="str">
        <x:v>Alternative dates can be selected</x:v>
      </x:c>
      <x:c r="J15" s="22" t="str">
        <x:v>All input-driven actions and output assertions matched.</x:v>
      </x:c>
      <x:c r="K15" s="22" t="str">
        <x:v>PASS / PASS</x:v>
      </x:c>
      <x:c r="L15" s="22" t="str">
        <x:v>09_Data_Driven_Testing/results/json_all_comparison.csv; 09_Data_Driven_Testing/results/csv_all_comparison.csv</x:v>
      </x:c>
      <x:c r="M15" s="22" t="str">
        <x:v>PROTOTYPE ONLY — real-system/NFR validation pending</x:v>
      </x:c>
    </x:row>
    <x:row r="16" ht="53" customHeight="1">
      <x:c r="A16" s="22" t="str">
        <x:v>TC-013</x:v>
      </x:c>
      <x:c r="B16" s="22" t="str">
        <x:v>Valid</x:v>
      </x:c>
      <x:c r="C16" s="22" t="str">
        <x:v>SC-01</x:v>
      </x:c>
      <x:c r="D16" s="22" t="str">
        <x:v>FR-4.1.1</x:v>
      </x:c>
      <x:c r="E16" s="22" t="str">
        <x:v>UC-04</x:v>
      </x:c>
      <x:c r="F16" s="22" t="str">
        <x:v>Book available slot</x:v>
      </x:c>
      <x:c r="G16" s="22" t="str">
        <x:v>Data-driven prototype (JSON / CSV)</x:v>
      </x:c>
      <x:c r="H16" s="22" t="str">
        <x:v>09_Data_Driven_Testing/input/test_cases_input.json; 09_Data_Driven_Testing/input/test_cases_input.csv</x:v>
      </x:c>
      <x:c r="I16" s="22" t="str">
        <x:v>One Confirmed booking with a unique code is created</x:v>
      </x:c>
      <x:c r="J16" s="22" t="str">
        <x:v>All input-driven actions and output assertions matched.</x:v>
      </x:c>
      <x:c r="K16" s="22" t="str">
        <x:v>PASS / PASS</x:v>
      </x:c>
      <x:c r="L16" s="22" t="str">
        <x:v>09_Data_Driven_Testing/results/json_all_comparison.csv; 09_Data_Driven_Testing/results/csv_all_comparison.csv</x:v>
      </x:c>
      <x:c r="M16" s="22" t="str">
        <x:v>PROTOTYPE ONLY — real-system/NFR validation pending</x:v>
      </x:c>
    </x:row>
    <x:row r="17" ht="53" customHeight="1">
      <x:c r="A17" s="22" t="str">
        <x:v>TC-014</x:v>
      </x:c>
      <x:c r="B17" s="22" t="str">
        <x:v>Boundary</x:v>
      </x:c>
      <x:c r="C17" s="22" t="str">
        <x:v>SC-01</x:v>
      </x:c>
      <x:c r="D17" s="22" t="str">
        <x:v>FR-4.1.1</x:v>
      </x:c>
      <x:c r="E17" s="22" t="str">
        <x:v>UC-04</x:v>
      </x:c>
      <x:c r="F17" s="22" t="str">
        <x:v>Repeated appointment ID</x:v>
      </x:c>
      <x:c r="G17" s="22" t="str">
        <x:v>Data-driven prototype (JSON / CSV)</x:v>
      </x:c>
      <x:c r="H17" s="22" t="str">
        <x:v>09_Data_Driven_Testing/input/test_cases_input.json; 09_Data_Driven_Testing/input/test_cases_input.csv</x:v>
      </x:c>
      <x:c r="I17" s="22" t="str">
        <x:v>Appointment IDs do not repeat</x:v>
      </x:c>
      <x:c r="J17" s="22" t="str">
        <x:v>All input-driven actions and output assertions matched.</x:v>
      </x:c>
      <x:c r="K17" s="22" t="str">
        <x:v>PASS / PASS</x:v>
      </x:c>
      <x:c r="L17" s="22" t="str">
        <x:v>09_Data_Driven_Testing/results/json_all_comparison.csv; 09_Data_Driven_Testing/results/csv_all_comparison.csv</x:v>
      </x:c>
      <x:c r="M17" s="22" t="str">
        <x:v>PROTOTYPE ONLY — real-system/NFR validation pending</x:v>
      </x:c>
    </x:row>
    <x:row r="18" ht="53" customHeight="1">
      <x:c r="A18" s="22" t="str">
        <x:v>TC-015</x:v>
      </x:c>
      <x:c r="B18" s="22" t="str">
        <x:v>Concurrency</x:v>
      </x:c>
      <x:c r="C18" s="22" t="str">
        <x:v>SC-02</x:v>
      </x:c>
      <x:c r="D18" s="22" t="str">
        <x:v>FR-4.1.2</x:v>
      </x:c>
      <x:c r="E18" s="22" t="str">
        <x:v>UC-04</x:v>
      </x:c>
      <x:c r="F18" s="22" t="str">
        <x:v>Two patients competing for one place</x:v>
      </x:c>
      <x:c r="G18" s="22" t="str">
        <x:v>Data-driven prototype (JSON / CSV)</x:v>
      </x:c>
      <x:c r="H18" s="22" t="str">
        <x:v>09_Data_Driven_Testing/input/test_cases_input.json; 09_Data_Driven_Testing/input/test_cases_input.csv</x:v>
      </x:c>
      <x:c r="I18" s="22" t="str">
        <x:v>Exactly one request succeeds</x:v>
      </x:c>
      <x:c r="J18" s="22" t="str">
        <x:v>All input-driven actions and output assertions matched.</x:v>
      </x:c>
      <x:c r="K18" s="22" t="str">
        <x:v>PASS / PASS</x:v>
      </x:c>
      <x:c r="L18" s="22" t="str">
        <x:v>09_Data_Driven_Testing/results/json_all_comparison.csv; 09_Data_Driven_Testing/results/csv_all_comparison.csv</x:v>
      </x:c>
      <x:c r="M18" s="22" t="str">
        <x:v>PROTOTYPE ONLY — real-system/NFR validation pending</x:v>
      </x:c>
    </x:row>
    <x:row r="19" ht="53" customHeight="1">
      <x:c r="A19" s="22" t="str">
        <x:v>TC-016</x:v>
      </x:c>
      <x:c r="B19" s="22" t="str">
        <x:v>Concurrency</x:v>
      </x:c>
      <x:c r="C19" s="22" t="str">
        <x:v>SC-02</x:v>
      </x:c>
      <x:c r="D19" s="22" t="str">
        <x:v>FR-4.1.2</x:v>
      </x:c>
      <x:c r="E19" s="22" t="str">
        <x:v>UC-04</x:v>
      </x:c>
      <x:c r="F19" s="22" t="str">
        <x:v>One hundred threads competing for one place</x:v>
      </x:c>
      <x:c r="G19" s="22" t="str">
        <x:v>Data-driven prototype (JSON / CSV)</x:v>
      </x:c>
      <x:c r="H19" s="22" t="str">
        <x:v>09_Data_Driven_Testing/input/test_cases_input.json; 09_Data_Driven_Testing/input/test_cases_input.csv</x:v>
      </x:c>
      <x:c r="I19" s="22" t="str">
        <x:v>Capacity is never exceeded</x:v>
      </x:c>
      <x:c r="J19" s="22" t="str">
        <x:v>All input-driven actions and output assertions matched.</x:v>
      </x:c>
      <x:c r="K19" s="22" t="str">
        <x:v>PASS / PASS</x:v>
      </x:c>
      <x:c r="L19" s="22" t="str">
        <x:v>09_Data_Driven_Testing/results/json_all_comparison.csv; 09_Data_Driven_Testing/results/csv_all_comparison.csv</x:v>
      </x:c>
      <x:c r="M19" s="22" t="str">
        <x:v>PROTOTYPE ONLY — real-system/NFR validation pending</x:v>
      </x:c>
    </x:row>
    <x:row r="20" ht="53" customHeight="1">
      <x:c r="A20" s="22" t="str">
        <x:v>TC-017</x:v>
      </x:c>
      <x:c r="B20" s="22" t="str">
        <x:v>Invalid</x:v>
      </x:c>
      <x:c r="C20" s="22" t="str">
        <x:v>SC-09</x:v>
      </x:c>
      <x:c r="D20" s="22" t="str">
        <x:v>FR-4.1.3</x:v>
      </x:c>
      <x:c r="E20" s="22" t="str">
        <x:v>UC-04</x:v>
      </x:c>
      <x:c r="F20" s="22" t="str">
        <x:v>Doctor becomes unavailable</x:v>
      </x:c>
      <x:c r="G20" s="22" t="str">
        <x:v>Data-driven prototype (JSON / CSV)</x:v>
      </x:c>
      <x:c r="H20" s="22" t="str">
        <x:v>09_Data_Driven_Testing/input/test_cases_input.json; 09_Data_Driven_Testing/input/test_cases_input.csv</x:v>
      </x:c>
      <x:c r="I20" s="22" t="str">
        <x:v>Booking is rejected</x:v>
      </x:c>
      <x:c r="J20" s="22" t="str">
        <x:v>All input-driven actions and output assertions matched.</x:v>
      </x:c>
      <x:c r="K20" s="22" t="str">
        <x:v>PASS / PASS</x:v>
      </x:c>
      <x:c r="L20" s="22" t="str">
        <x:v>09_Data_Driven_Testing/results/json_all_comparison.csv; 09_Data_Driven_Testing/results/csv_all_comparison.csv</x:v>
      </x:c>
      <x:c r="M20" s="22" t="str">
        <x:v>PROTOTYPE ONLY — real-system/NFR validation pending</x:v>
      </x:c>
    </x:row>
    <x:row r="21" ht="53" customHeight="1">
      <x:c r="A21" s="22" t="str">
        <x:v>TC-018</x:v>
      </x:c>
      <x:c r="B21" s="22" t="str">
        <x:v>Invalid</x:v>
      </x:c>
      <x:c r="C21" s="22" t="str">
        <x:v>SC-03</x:v>
      </x:c>
      <x:c r="D21" s="22" t="str">
        <x:v>FR-4.1.3</x:v>
      </x:c>
      <x:c r="E21" s="22" t="str">
        <x:v>UC-04</x:v>
      </x:c>
      <x:c r="F21" s="22" t="str">
        <x:v>Already full slot</x:v>
      </x:c>
      <x:c r="G21" s="22" t="str">
        <x:v>Data-driven prototype (JSON / CSV)</x:v>
      </x:c>
      <x:c r="H21" s="22" t="str">
        <x:v>09_Data_Driven_Testing/input/test_cases_input.json; 09_Data_Driven_Testing/input/test_cases_input.csv</x:v>
      </x:c>
      <x:c r="I21" s="22" t="str">
        <x:v>No additional capacity is consumed</x:v>
      </x:c>
      <x:c r="J21" s="22" t="str">
        <x:v>All input-driven actions and output assertions matched.</x:v>
      </x:c>
      <x:c r="K21" s="22" t="str">
        <x:v>PASS / PASS</x:v>
      </x:c>
      <x:c r="L21" s="22" t="str">
        <x:v>09_Data_Driven_Testing/results/json_all_comparison.csv; 09_Data_Driven_Testing/results/csv_all_comparison.csv</x:v>
      </x:c>
      <x:c r="M21" s="22" t="str">
        <x:v>PROTOTYPE ONLY — real-system/NFR validation pending</x:v>
      </x:c>
    </x:row>
    <x:row r="22" ht="53" customHeight="1">
      <x:c r="A22" s="22" t="str">
        <x:v>TC-019</x:v>
      </x:c>
      <x:c r="B22" s="22" t="str">
        <x:v>Valid</x:v>
      </x:c>
      <x:c r="C22" s="22" t="str">
        <x:v>SC-17</x:v>
      </x:c>
      <x:c r="D22" s="22" t="str">
        <x:v>FR-5.1.1</x:v>
      </x:c>
      <x:c r="E22" s="22" t="str">
        <x:v>UC-05</x:v>
      </x:c>
      <x:c r="F22" s="22" t="str">
        <x:v>List own appointments</x:v>
      </x:c>
      <x:c r="G22" s="22" t="str">
        <x:v>Data-driven prototype (JSON / CSV)</x:v>
      </x:c>
      <x:c r="H22" s="22" t="str">
        <x:v>09_Data_Driven_Testing/input/test_cases_input.json; 09_Data_Driven_Testing/input/test_cases_input.csv</x:v>
      </x:c>
      <x:c r="I22" s="22" t="str">
        <x:v>Only the authenticated patient’s appointments appear</x:v>
      </x:c>
      <x:c r="J22" s="22" t="str">
        <x:v>All input-driven actions and output assertions matched.</x:v>
      </x:c>
      <x:c r="K22" s="22" t="str">
        <x:v>PASS / PASS</x:v>
      </x:c>
      <x:c r="L22" s="22" t="str">
        <x:v>09_Data_Driven_Testing/results/json_all_comparison.csv; 09_Data_Driven_Testing/results/csv_all_comparison.csv</x:v>
      </x:c>
      <x:c r="M22" s="22" t="str">
        <x:v>PROTOTYPE ONLY — real-system/NFR validation pending</x:v>
      </x:c>
    </x:row>
    <x:row r="23" ht="53" customHeight="1">
      <x:c r="A23" s="22" t="str">
        <x:v>TC-020</x:v>
      </x:c>
      <x:c r="B23" s="22" t="str">
        <x:v>Security</x:v>
      </x:c>
      <x:c r="C23" s="22" t="str">
        <x:v>SC-13</x:v>
      </x:c>
      <x:c r="D23" s="22" t="str">
        <x:v>FR-5.1.1</x:v>
      </x:c>
      <x:c r="E23" s="22" t="str">
        <x:v>UC-05</x:v>
      </x:c>
      <x:c r="F23" s="22" t="str">
        <x:v>Read another patient’s appointment</x:v>
      </x:c>
      <x:c r="G23" s="22" t="str">
        <x:v>Data-driven prototype (JSON / CSV)</x:v>
      </x:c>
      <x:c r="H23" s="22" t="str">
        <x:v>09_Data_Driven_Testing/input/test_cases_input.json; 09_Data_Driven_Testing/input/test_cases_input.csv</x:v>
      </x:c>
      <x:c r="I23" s="22" t="str">
        <x:v>Access is denied</x:v>
      </x:c>
      <x:c r="J23" s="22" t="str">
        <x:v>All input-driven actions and output assertions matched.</x:v>
      </x:c>
      <x:c r="K23" s="22" t="str">
        <x:v>PASS / PASS</x:v>
      </x:c>
      <x:c r="L23" s="22" t="str">
        <x:v>09_Data_Driven_Testing/results/json_all_comparison.csv; 09_Data_Driven_Testing/results/csv_all_comparison.csv</x:v>
      </x:c>
      <x:c r="M23" s="22" t="str">
        <x:v>PROTOTYPE ONLY — real-system/NFR validation pending</x:v>
      </x:c>
    </x:row>
    <x:row r="24" ht="53" customHeight="1">
      <x:c r="A24" s="22" t="str">
        <x:v>TC-021</x:v>
      </x:c>
      <x:c r="B24" s="22" t="str">
        <x:v>Valid</x:v>
      </x:c>
      <x:c r="C24" s="22" t="str">
        <x:v>SC-17</x:v>
      </x:c>
      <x:c r="D24" s="22" t="str">
        <x:v>FR-5.1.2</x:v>
      </x:c>
      <x:c r="E24" s="22" t="str">
        <x:v>UC-05</x:v>
      </x:c>
      <x:c r="F24" s="22" t="str">
        <x:v>View booking details</x:v>
      </x:c>
      <x:c r="G24" s="22" t="str">
        <x:v>Data-driven prototype (JSON / CSV)</x:v>
      </x:c>
      <x:c r="H24" s="22" t="str">
        <x:v>09_Data_Driven_Testing/input/test_cases_input.json; 09_Data_Driven_Testing/input/test_cases_input.csv</x:v>
      </x:c>
      <x:c r="I24" s="22" t="str">
        <x:v>Code, specialty, doctor, time and status are displayed</x:v>
      </x:c>
      <x:c r="J24" s="22" t="str">
        <x:v>All input-driven actions and output assertions matched.</x:v>
      </x:c>
      <x:c r="K24" s="22" t="str">
        <x:v>PASS / PASS</x:v>
      </x:c>
      <x:c r="L24" s="22" t="str">
        <x:v>09_Data_Driven_Testing/results/json_all_comparison.csv; 09_Data_Driven_Testing/results/csv_all_comparison.csv</x:v>
      </x:c>
      <x:c r="M24" s="22" t="str">
        <x:v>PROTOTYPE ONLY — real-system/NFR validation pending</x:v>
      </x:c>
    </x:row>
    <x:row r="25" ht="53" customHeight="1">
      <x:c r="A25" s="22" t="str">
        <x:v>TC-022</x:v>
      </x:c>
      <x:c r="B25" s="22" t="str">
        <x:v>Valid</x:v>
      </x:c>
      <x:c r="C25" s="22" t="str">
        <x:v>SC-04</x:v>
      </x:c>
      <x:c r="D25" s="22" t="str">
        <x:v>FR-6.1.1</x:v>
      </x:c>
      <x:c r="E25" s="22" t="str">
        <x:v>UC-06</x:v>
      </x:c>
      <x:c r="F25" s="22" t="str">
        <x:v>Cancel more than 24 hours early</x:v>
      </x:c>
      <x:c r="G25" s="22" t="str">
        <x:v>Data-driven prototype (JSON / CSV)</x:v>
      </x:c>
      <x:c r="H25" s="22" t="str">
        <x:v>09_Data_Driven_Testing/input/test_cases_input.json; 09_Data_Driven_Testing/input/test_cases_input.csv</x:v>
      </x:c>
      <x:c r="I25" s="22" t="str">
        <x:v>Status becomes Cancelled; capacity is restored</x:v>
      </x:c>
      <x:c r="J25" s="22" t="str">
        <x:v>All input-driven actions and output assertions matched.</x:v>
      </x:c>
      <x:c r="K25" s="22" t="str">
        <x:v>PASS / PASS</x:v>
      </x:c>
      <x:c r="L25" s="22" t="str">
        <x:v>09_Data_Driven_Testing/results/json_all_comparison.csv; 09_Data_Driven_Testing/results/csv_all_comparison.csv</x:v>
      </x:c>
      <x:c r="M25" s="22" t="str">
        <x:v>PROTOTYPE ONLY — real-system/NFR validation pending</x:v>
      </x:c>
    </x:row>
    <x:row r="26" ht="53" customHeight="1">
      <x:c r="A26" s="22" t="str">
        <x:v>TC-023</x:v>
      </x:c>
      <x:c r="B26" s="22" t="str">
        <x:v>Boundary</x:v>
      </x:c>
      <x:c r="C26" s="22" t="str">
        <x:v>SC-04</x:v>
      </x:c>
      <x:c r="D26" s="22" t="str">
        <x:v>FR-6.1.1</x:v>
      </x:c>
      <x:c r="E26" s="22" t="str">
        <x:v>UC-06</x:v>
      </x:c>
      <x:c r="F26" s="22" t="str">
        <x:v>Cancel exactly 12 hours early</x:v>
      </x:c>
      <x:c r="G26" s="22" t="str">
        <x:v>Data-driven prototype (JSON / CSV)</x:v>
      </x:c>
      <x:c r="H26" s="22" t="str">
        <x:v>09_Data_Driven_Testing/input/test_cases_input.json; 09_Data_Driven_Testing/input/test_cases_input.csv</x:v>
      </x:c>
      <x:c r="I26" s="22" t="str">
        <x:v>Cancellation is permitted at the 12-hour boundary</x:v>
      </x:c>
      <x:c r="J26" s="22" t="str">
        <x:v>All input-driven actions and output assertions matched.</x:v>
      </x:c>
      <x:c r="K26" s="22" t="str">
        <x:v>PASS / PASS</x:v>
      </x:c>
      <x:c r="L26" s="22" t="str">
        <x:v>09_Data_Driven_Testing/results/json_all_comparison.csv; 09_Data_Driven_Testing/results/csv_all_comparison.csv</x:v>
      </x:c>
      <x:c r="M26" s="22" t="str">
        <x:v>PROTOTYPE ONLY — real-system/NFR validation pending</x:v>
      </x:c>
    </x:row>
    <x:row r="27" ht="53" customHeight="1">
      <x:c r="A27" s="22" t="str">
        <x:v>TC-024</x:v>
      </x:c>
      <x:c r="B27" s="22" t="str">
        <x:v>Invalid</x:v>
      </x:c>
      <x:c r="C27" s="22" t="str">
        <x:v>SC-05</x:v>
      </x:c>
      <x:c r="D27" s="22" t="str">
        <x:v>FR-6.1.2</x:v>
      </x:c>
      <x:c r="E27" s="22" t="str">
        <x:v>UC-06</x:v>
      </x:c>
      <x:c r="F27" s="22" t="str">
        <x:v>Cancel only 3 hours early</x:v>
      </x:c>
      <x:c r="G27" s="22" t="str">
        <x:v>Data-driven prototype (JSON / CSV)</x:v>
      </x:c>
      <x:c r="H27" s="22" t="str">
        <x:v>09_Data_Driven_Testing/input/test_cases_input.json; 09_Data_Driven_Testing/input/test_cases_input.csv</x:v>
      </x:c>
      <x:c r="I27" s="22" t="str">
        <x:v>Cancellation is rejected and capacity unchanged</x:v>
      </x:c>
      <x:c r="J27" s="22" t="str">
        <x:v>All input-driven actions and output assertions matched.</x:v>
      </x:c>
      <x:c r="K27" s="22" t="str">
        <x:v>PASS / PASS</x:v>
      </x:c>
      <x:c r="L27" s="22" t="str">
        <x:v>09_Data_Driven_Testing/results/json_all_comparison.csv; 09_Data_Driven_Testing/results/csv_all_comparison.csv</x:v>
      </x:c>
      <x:c r="M27" s="22" t="str">
        <x:v>PROTOTYPE ONLY — real-system/NFR validation pending</x:v>
      </x:c>
    </x:row>
    <x:row r="28" ht="53" customHeight="1">
      <x:c r="A28" s="22" t="str">
        <x:v>TC-025</x:v>
      </x:c>
      <x:c r="B28" s="22" t="str">
        <x:v>Security</x:v>
      </x:c>
      <x:c r="C28" s="22" t="str">
        <x:v>SC-13</x:v>
      </x:c>
      <x:c r="D28" s="22" t="str">
        <x:v>FR-6.1.2</x:v>
      </x:c>
      <x:c r="E28" s="22" t="str">
        <x:v>UC-06</x:v>
      </x:c>
      <x:c r="F28" s="22" t="str">
        <x:v>Unauthorized cancellation by another patient</x:v>
      </x:c>
      <x:c r="G28" s="22" t="str">
        <x:v>Data-driven prototype (JSON / CSV)</x:v>
      </x:c>
      <x:c r="H28" s="22" t="str">
        <x:v>09_Data_Driven_Testing/input/test_cases_input.json; 09_Data_Driven_Testing/input/test_cases_input.csv</x:v>
      </x:c>
      <x:c r="I28" s="22" t="str">
        <x:v>Unauthorized action is denied</x:v>
      </x:c>
      <x:c r="J28" s="22" t="str">
        <x:v>All input-driven actions and output assertions matched.</x:v>
      </x:c>
      <x:c r="K28" s="22" t="str">
        <x:v>PASS / PASS</x:v>
      </x:c>
      <x:c r="L28" s="22" t="str">
        <x:v>09_Data_Driven_Testing/results/json_all_comparison.csv; 09_Data_Driven_Testing/results/csv_all_comparison.csv</x:v>
      </x:c>
      <x:c r="M28" s="22" t="str">
        <x:v>PROTOTYPE ONLY — real-system/NFR validation pending</x:v>
      </x:c>
    </x:row>
    <x:row r="29" ht="53" customHeight="1">
      <x:c r="A29" s="22" t="str">
        <x:v>TC-026</x:v>
      </x:c>
      <x:c r="B29" s="22" t="str">
        <x:v>Idempotency</x:v>
      </x:c>
      <x:c r="C29" s="22" t="str">
        <x:v>SC-04</x:v>
      </x:c>
      <x:c r="D29" s="22" t="str">
        <x:v>FR-6.1.1</x:v>
      </x:c>
      <x:c r="E29" s="22" t="str">
        <x:v>UC-06</x:v>
      </x:c>
      <x:c r="F29" s="22" t="str">
        <x:v>Repeat cancellation</x:v>
      </x:c>
      <x:c r="G29" s="22" t="str">
        <x:v>Data-driven prototype (JSON / CSV)</x:v>
      </x:c>
      <x:c r="H29" s="22" t="str">
        <x:v>09_Data_Driven_Testing/input/test_cases_input.json; 09_Data_Driven_Testing/input/test_cases_input.csv</x:v>
      </x:c>
      <x:c r="I29" s="22" t="str">
        <x:v>No capacity is released twice</x:v>
      </x:c>
      <x:c r="J29" s="22" t="str">
        <x:v>All input-driven actions and output assertions matched.</x:v>
      </x:c>
      <x:c r="K29" s="22" t="str">
        <x:v>PASS / PASS</x:v>
      </x:c>
      <x:c r="L29" s="22" t="str">
        <x:v>09_Data_Driven_Testing/results/json_all_comparison.csv; 09_Data_Driven_Testing/results/csv_all_comparison.csv</x:v>
      </x:c>
      <x:c r="M29" s="22" t="str">
        <x:v>PROTOTYPE ONLY — real-system/NFR validation pending</x:v>
      </x:c>
    </x:row>
    <x:row r="30" ht="53" customHeight="1">
      <x:c r="A30" s="22" t="str">
        <x:v>TC-027</x:v>
      </x:c>
      <x:c r="B30" s="22" t="str">
        <x:v>Valid</x:v>
      </x:c>
      <x:c r="C30" s="22" t="str">
        <x:v>SC-06</x:v>
      </x:c>
      <x:c r="D30" s="22" t="str">
        <x:v>FR-7.1.1</x:v>
      </x:c>
      <x:c r="E30" s="22" t="str">
        <x:v>UC-07</x:v>
      </x:c>
      <x:c r="F30" s="22" t="str">
        <x:v>Reschedule with at least 12 hours left</x:v>
      </x:c>
      <x:c r="G30" s="22" t="str">
        <x:v>Data-driven prototype (JSON / CSV)</x:v>
      </x:c>
      <x:c r="H30" s="22" t="str">
        <x:v>09_Data_Driven_Testing/input/test_cases_input.json; 09_Data_Driven_Testing/input/test_cases_input.csv</x:v>
      </x:c>
      <x:c r="I30" s="22" t="str">
        <x:v>Old slot is released and new slot reserved</x:v>
      </x:c>
      <x:c r="J30" s="22" t="str">
        <x:v>All input-driven actions and output assertions matched.</x:v>
      </x:c>
      <x:c r="K30" s="22" t="str">
        <x:v>PASS / PASS</x:v>
      </x:c>
      <x:c r="L30" s="22" t="str">
        <x:v>09_Data_Driven_Testing/results/json_all_comparison.csv; 09_Data_Driven_Testing/results/csv_all_comparison.csv</x:v>
      </x:c>
      <x:c r="M30" s="22" t="str">
        <x:v>PROTOTYPE ONLY — real-system/NFR validation pending</x:v>
      </x:c>
    </x:row>
    <x:row r="31" ht="53" customHeight="1">
      <x:c r="A31" s="22" t="str">
        <x:v>TC-028</x:v>
      </x:c>
      <x:c r="B31" s="22" t="str">
        <x:v>Invalid</x:v>
      </x:c>
      <x:c r="C31" s="22" t="str">
        <x:v>SC-07</x:v>
      </x:c>
      <x:c r="D31" s="22" t="str">
        <x:v>FR-7.1.2</x:v>
      </x:c>
      <x:c r="E31" s="22" t="str">
        <x:v>UC-07</x:v>
      </x:c>
      <x:c r="F31" s="22" t="str">
        <x:v>Reschedule with only 2 hours left</x:v>
      </x:c>
      <x:c r="G31" s="22" t="str">
        <x:v>Data-driven prototype (JSON / CSV)</x:v>
      </x:c>
      <x:c r="H31" s="22" t="str">
        <x:v>09_Data_Driven_Testing/input/test_cases_input.json; 09_Data_Driven_Testing/input/test_cases_input.csv</x:v>
      </x:c>
      <x:c r="I31" s="22" t="str">
        <x:v>Original booking remains</x:v>
      </x:c>
      <x:c r="J31" s="22" t="str">
        <x:v>All input-driven actions and output assertions matched.</x:v>
      </x:c>
      <x:c r="K31" s="22" t="str">
        <x:v>PASS / PASS</x:v>
      </x:c>
      <x:c r="L31" s="22" t="str">
        <x:v>09_Data_Driven_Testing/results/json_all_comparison.csv; 09_Data_Driven_Testing/results/csv_all_comparison.csv</x:v>
      </x:c>
      <x:c r="M31" s="22" t="str">
        <x:v>PROTOTYPE ONLY — real-system/NFR validation pending</x:v>
      </x:c>
    </x:row>
    <x:row r="32" ht="53" customHeight="1">
      <x:c r="A32" s="22" t="str">
        <x:v>TC-029</x:v>
      </x:c>
      <x:c r="B32" s="22" t="str">
        <x:v>Invalid</x:v>
      </x:c>
      <x:c r="C32" s="22" t="str">
        <x:v>SC-07</x:v>
      </x:c>
      <x:c r="D32" s="22" t="str">
        <x:v>FR-7.1.2</x:v>
      </x:c>
      <x:c r="E32" s="22" t="str">
        <x:v>UC-07</x:v>
      </x:c>
      <x:c r="F32" s="22" t="str">
        <x:v>Reschedule to a full slot</x:v>
      </x:c>
      <x:c r="G32" s="22" t="str">
        <x:v>Data-driven prototype (JSON / CSV)</x:v>
      </x:c>
      <x:c r="H32" s="22" t="str">
        <x:v>09_Data_Driven_Testing/input/test_cases_input.json; 09_Data_Driven_Testing/input/test_cases_input.csv</x:v>
      </x:c>
      <x:c r="I32" s="22" t="str">
        <x:v>Original booking remains</x:v>
      </x:c>
      <x:c r="J32" s="22" t="str">
        <x:v>All input-driven actions and output assertions matched.</x:v>
      </x:c>
      <x:c r="K32" s="22" t="str">
        <x:v>PASS / PASS</x:v>
      </x:c>
      <x:c r="L32" s="22" t="str">
        <x:v>09_Data_Driven_Testing/results/json_all_comparison.csv; 09_Data_Driven_Testing/results/csv_all_comparison.csv</x:v>
      </x:c>
      <x:c r="M32" s="22" t="str">
        <x:v>PROTOTYPE ONLY — real-system/NFR validation pending</x:v>
      </x:c>
    </x:row>
    <x:row r="33" ht="53" customHeight="1">
      <x:c r="A33" s="22" t="str">
        <x:v>TC-030</x:v>
      </x:c>
      <x:c r="B33" s="22" t="str">
        <x:v>Failure</x:v>
      </x:c>
      <x:c r="C33" s="22" t="str">
        <x:v>SC-06</x:v>
      </x:c>
      <x:c r="D33" s="22" t="str">
        <x:v>FR-7.1.2</x:v>
      </x:c>
      <x:c r="E33" s="22" t="str">
        <x:v>UC-07</x:v>
      </x:c>
      <x:c r="F33" s="22" t="str">
        <x:v>Mid-transaction rescheduling failure</x:v>
      </x:c>
      <x:c r="G33" s="22" t="str">
        <x:v>Data-driven prototype (JSON / CSV)</x:v>
      </x:c>
      <x:c r="H33" s="22" t="str">
        <x:v>09_Data_Driven_Testing/input/test_cases_input.json; 09_Data_Driven_Testing/input/test_cases_input.csv</x:v>
      </x:c>
      <x:c r="I33" s="22" t="str">
        <x:v>Transaction rolls back with correct capacities</x:v>
      </x:c>
      <x:c r="J33" s="22" t="str">
        <x:v>All input-driven actions and output assertions matched.</x:v>
      </x:c>
      <x:c r="K33" s="22" t="str">
        <x:v>PASS / PASS</x:v>
      </x:c>
      <x:c r="L33" s="22" t="str">
        <x:v>09_Data_Driven_Testing/results/json_all_comparison.csv; 09_Data_Driven_Testing/results/csv_all_comparison.csv</x:v>
      </x:c>
      <x:c r="M33" s="22" t="str">
        <x:v>PROTOTYPE ONLY — real-system/NFR validation pending</x:v>
      </x:c>
    </x:row>
    <x:row r="34" ht="53" customHeight="1">
      <x:c r="A34" s="22" t="str">
        <x:v>TC-031</x:v>
      </x:c>
      <x:c r="B34" s="22" t="str">
        <x:v>Valid</x:v>
      </x:c>
      <x:c r="C34" s="22" t="str">
        <x:v>SC-08</x:v>
      </x:c>
      <x:c r="D34" s="22" t="str">
        <x:v>FR-8.1.1</x:v>
      </x:c>
      <x:c r="E34" s="22" t="str">
        <x:v>UC-08</x:v>
      </x:c>
      <x:c r="F34" s="22" t="str">
        <x:v>Check in a Confirmed appointment</x:v>
      </x:c>
      <x:c r="G34" s="22" t="str">
        <x:v>Data-driven prototype (JSON / CSV)</x:v>
      </x:c>
      <x:c r="H34" s="22" t="str">
        <x:v>09_Data_Driven_Testing/input/test_cases_input.json; 09_Data_Driven_Testing/input/test_cases_input.csv</x:v>
      </x:c>
      <x:c r="I34" s="22" t="str">
        <x:v>Status is Checked-in</x:v>
      </x:c>
      <x:c r="J34" s="22" t="str">
        <x:v>All input-driven actions and output assertions matched.</x:v>
      </x:c>
      <x:c r="K34" s="22" t="str">
        <x:v>PASS / PASS</x:v>
      </x:c>
      <x:c r="L34" s="22" t="str">
        <x:v>09_Data_Driven_Testing/results/json_all_comparison.csv; 09_Data_Driven_Testing/results/csv_all_comparison.csv</x:v>
      </x:c>
      <x:c r="M34" s="22" t="str">
        <x:v>PROTOTYPE ONLY — real-system/NFR validation pending</x:v>
      </x:c>
    </x:row>
    <x:row r="35" ht="53" customHeight="1">
      <x:c r="A35" s="22" t="str">
        <x:v>TC-032</x:v>
      </x:c>
      <x:c r="B35" s="22" t="str">
        <x:v>Invalid</x:v>
      </x:c>
      <x:c r="C35" s="22" t="str">
        <x:v>SC-10</x:v>
      </x:c>
      <x:c r="D35" s="22" t="str">
        <x:v>FR-8.1.2</x:v>
      </x:c>
      <x:c r="E35" s="22" t="str">
        <x:v>UC-08</x:v>
      </x:c>
      <x:c r="F35" s="22" t="str">
        <x:v>Check in a Cancelled appointment</x:v>
      </x:c>
      <x:c r="G35" s="22" t="str">
        <x:v>Data-driven prototype (JSON / CSV)</x:v>
      </x:c>
      <x:c r="H35" s="22" t="str">
        <x:v>09_Data_Driven_Testing/input/test_cases_input.json; 09_Data_Driven_Testing/input/test_cases_input.csv</x:v>
      </x:c>
      <x:c r="I35" s="22" t="str">
        <x:v>Check-in is denied</x:v>
      </x:c>
      <x:c r="J35" s="22" t="str">
        <x:v>All input-driven actions and output assertions matched.</x:v>
      </x:c>
      <x:c r="K35" s="22" t="str">
        <x:v>PASS / PASS</x:v>
      </x:c>
      <x:c r="L35" s="22" t="str">
        <x:v>09_Data_Driven_Testing/results/json_all_comparison.csv; 09_Data_Driven_Testing/results/csv_all_comparison.csv</x:v>
      </x:c>
      <x:c r="M35" s="22" t="str">
        <x:v>PROTOTYPE ONLY — real-system/NFR validation pending</x:v>
      </x:c>
    </x:row>
    <x:row r="36" ht="53" customHeight="1">
      <x:c r="A36" s="22" t="str">
        <x:v>TC-033</x:v>
      </x:c>
      <x:c r="B36" s="22" t="str">
        <x:v>Idempotency</x:v>
      </x:c>
      <x:c r="C36" s="22" t="str">
        <x:v>SC-08</x:v>
      </x:c>
      <x:c r="D36" s="22" t="str">
        <x:v>FR-8.1.2</x:v>
      </x:c>
      <x:c r="E36" s="22" t="str">
        <x:v>UC-08</x:v>
      </x:c>
      <x:c r="F36" s="22" t="str">
        <x:v>Repeated check-in</x:v>
      </x:c>
      <x:c r="G36" s="22" t="str">
        <x:v>Data-driven prototype (JSON / CSV)</x:v>
      </x:c>
      <x:c r="H36" s="22" t="str">
        <x:v>09_Data_Driven_Testing/input/test_cases_input.json; 09_Data_Driven_Testing/input/test_cases_input.csv</x:v>
      </x:c>
      <x:c r="I36" s="22" t="str">
        <x:v>No duplicate check-in is recorded</x:v>
      </x:c>
      <x:c r="J36" s="22" t="str">
        <x:v>All input-driven actions and output assertions matched.</x:v>
      </x:c>
      <x:c r="K36" s="22" t="str">
        <x:v>PASS / PASS</x:v>
      </x:c>
      <x:c r="L36" s="22" t="str">
        <x:v>09_Data_Driven_Testing/results/json_all_comparison.csv; 09_Data_Driven_Testing/results/csv_all_comparison.csv</x:v>
      </x:c>
      <x:c r="M36" s="22" t="str">
        <x:v>PROTOTYPE ONLY — real-system/NFR validation pending</x:v>
      </x:c>
    </x:row>
    <x:row r="37" ht="53" customHeight="1">
      <x:c r="A37" s="22" t="str">
        <x:v>TC-034</x:v>
      </x:c>
      <x:c r="B37" s="22" t="str">
        <x:v>Invalid</x:v>
      </x:c>
      <x:c r="C37" s="22" t="str">
        <x:v>SC-08</x:v>
      </x:c>
      <x:c r="D37" s="22" t="str">
        <x:v>FR-8.1.2</x:v>
      </x:c>
      <x:c r="E37" s="22" t="str">
        <x:v>UC-08</x:v>
      </x:c>
      <x:c r="F37" s="22" t="str">
        <x:v>Unknown appointment ID</x:v>
      </x:c>
      <x:c r="G37" s="22" t="str">
        <x:v>Data-driven prototype (JSON / CSV)</x:v>
      </x:c>
      <x:c r="H37" s="22" t="str">
        <x:v>09_Data_Driven_Testing/input/test_cases_input.json; 09_Data_Driven_Testing/input/test_cases_input.csv</x:v>
      </x:c>
      <x:c r="I37" s="22" t="str">
        <x:v>Not-found message is displayed</x:v>
      </x:c>
      <x:c r="J37" s="22" t="str">
        <x:v>All input-driven actions and output assertions matched.</x:v>
      </x:c>
      <x:c r="K37" s="22" t="str">
        <x:v>PASS / PASS</x:v>
      </x:c>
      <x:c r="L37" s="22" t="str">
        <x:v>09_Data_Driven_Testing/results/json_all_comparison.csv; 09_Data_Driven_Testing/results/csv_all_comparison.csv</x:v>
      </x:c>
      <x:c r="M37" s="22" t="str">
        <x:v>PROTOTYPE ONLY — real-system/NFR validation pending</x:v>
      </x:c>
    </x:row>
    <x:row r="38" ht="53" customHeight="1">
      <x:c r="A38" s="22" t="str">
        <x:v>TC-035</x:v>
      </x:c>
      <x:c r="B38" s="22" t="str">
        <x:v>Valid</x:v>
      </x:c>
      <x:c r="C38" s="22" t="str">
        <x:v>SC-11</x:v>
      </x:c>
      <x:c r="D38" s="22" t="str">
        <x:v>FR-9.1.1</x:v>
      </x:c>
      <x:c r="E38" s="22" t="str">
        <x:v>UC-09</x:v>
      </x:c>
      <x:c r="F38" s="22" t="str">
        <x:v>Doctor views assigned list</x:v>
      </x:c>
      <x:c r="G38" s="22" t="str">
        <x:v>Data-driven prototype (JSON / CSV)</x:v>
      </x:c>
      <x:c r="H38" s="22" t="str">
        <x:v>09_Data_Driven_Testing/input/test_cases_input.json; 09_Data_Driven_Testing/input/test_cases_input.csv</x:v>
      </x:c>
      <x:c r="I38" s="22" t="str">
        <x:v>Only assigned visits are returned</x:v>
      </x:c>
      <x:c r="J38" s="22" t="str">
        <x:v>All input-driven actions and output assertions matched.</x:v>
      </x:c>
      <x:c r="K38" s="22" t="str">
        <x:v>PASS / PASS</x:v>
      </x:c>
      <x:c r="L38" s="22" t="str">
        <x:v>09_Data_Driven_Testing/results/json_all_comparison.csv; 09_Data_Driven_Testing/results/csv_all_comparison.csv</x:v>
      </x:c>
      <x:c r="M38" s="22" t="str">
        <x:v>PROTOTYPE ONLY — real-system/NFR validation pending</x:v>
      </x:c>
    </x:row>
    <x:row r="39" ht="53" customHeight="1">
      <x:c r="A39" s="22" t="str">
        <x:v>TC-036</x:v>
      </x:c>
      <x:c r="B39" s="22" t="str">
        <x:v>Security</x:v>
      </x:c>
      <x:c r="C39" s="22" t="str">
        <x:v>SC-11</x:v>
      </x:c>
      <x:c r="D39" s="22" t="str">
        <x:v>FR-9.1.1</x:v>
      </x:c>
      <x:c r="E39" s="22" t="str">
        <x:v>UC-09</x:v>
      </x:c>
      <x:c r="F39" s="22" t="str">
        <x:v>Doctor accesses another physician’s list</x:v>
      </x:c>
      <x:c r="G39" s="22" t="str">
        <x:v>Data-driven prototype (JSON / CSV)</x:v>
      </x:c>
      <x:c r="H39" s="22" t="str">
        <x:v>09_Data_Driven_Testing/input/test_cases_input.json; 09_Data_Driven_Testing/input/test_cases_input.csv</x:v>
      </x:c>
      <x:c r="I39" s="22" t="str">
        <x:v>Access is denied</x:v>
      </x:c>
      <x:c r="J39" s="22" t="str">
        <x:v>All input-driven actions and output assertions matched.</x:v>
      </x:c>
      <x:c r="K39" s="22" t="str">
        <x:v>PASS / PASS</x:v>
      </x:c>
      <x:c r="L39" s="22" t="str">
        <x:v>09_Data_Driven_Testing/results/json_all_comparison.csv; 09_Data_Driven_Testing/results/csv_all_comparison.csv</x:v>
      </x:c>
      <x:c r="M39" s="22" t="str">
        <x:v>PROTOTYPE ONLY — real-system/NFR validation pending</x:v>
      </x:c>
    </x:row>
    <x:row r="40" ht="53" customHeight="1">
      <x:c r="A40" s="22" t="str">
        <x:v>TC-037</x:v>
      </x:c>
      <x:c r="B40" s="22" t="str">
        <x:v>Valid</x:v>
      </x:c>
      <x:c r="C40" s="22" t="str">
        <x:v>SC-11</x:v>
      </x:c>
      <x:c r="D40" s="22" t="str">
        <x:v>FR-9.1.2</x:v>
      </x:c>
      <x:c r="E40" s="22" t="str">
        <x:v>UC-09</x:v>
      </x:c>
      <x:c r="F40" s="22" t="str">
        <x:v>Begin consultation in valid status</x:v>
      </x:c>
      <x:c r="G40" s="22" t="str">
        <x:v>Data-driven prototype (JSON / CSV)</x:v>
      </x:c>
      <x:c r="H40" s="22" t="str">
        <x:v>09_Data_Driven_Testing/input/test_cases_input.json; 09_Data_Driven_Testing/input/test_cases_input.csv</x:v>
      </x:c>
      <x:c r="I40" s="22" t="str">
        <x:v>Status becomes In Progress</x:v>
      </x:c>
      <x:c r="J40" s="22" t="str">
        <x:v>All input-driven actions and output assertions matched.</x:v>
      </x:c>
      <x:c r="K40" s="22" t="str">
        <x:v>PASS / PASS</x:v>
      </x:c>
      <x:c r="L40" s="22" t="str">
        <x:v>09_Data_Driven_Testing/results/json_all_comparison.csv; 09_Data_Driven_Testing/results/csv_all_comparison.csv</x:v>
      </x:c>
      <x:c r="M40" s="22" t="str">
        <x:v>PROTOTYPE ONLY — real-system/NFR validation pending</x:v>
      </x:c>
    </x:row>
    <x:row r="41" ht="53" customHeight="1">
      <x:c r="A41" s="22" t="str">
        <x:v>TC-038</x:v>
      </x:c>
      <x:c r="B41" s="22" t="str">
        <x:v>Invalid</x:v>
      </x:c>
      <x:c r="C41" s="22" t="str">
        <x:v>SC-11</x:v>
      </x:c>
      <x:c r="D41" s="22" t="str">
        <x:v>FR-9.1.2</x:v>
      </x:c>
      <x:c r="E41" s="22" t="str">
        <x:v>UC-09</x:v>
      </x:c>
      <x:c r="F41" s="22" t="str">
        <x:v>Begin consultation before check-in</x:v>
      </x:c>
      <x:c r="G41" s="22" t="str">
        <x:v>Data-driven prototype (JSON / CSV)</x:v>
      </x:c>
      <x:c r="H41" s="22" t="str">
        <x:v>09_Data_Driven_Testing/input/test_cases_input.json; 09_Data_Driven_Testing/input/test_cases_input.csv</x:v>
      </x:c>
      <x:c r="I41" s="22" t="str">
        <x:v>Transition is rejected</x:v>
      </x:c>
      <x:c r="J41" s="22" t="str">
        <x:v>All input-driven actions and output assertions matched.</x:v>
      </x:c>
      <x:c r="K41" s="22" t="str">
        <x:v>PASS / PASS</x:v>
      </x:c>
      <x:c r="L41" s="22" t="str">
        <x:v>09_Data_Driven_Testing/results/json_all_comparison.csv; 09_Data_Driven_Testing/results/csv_all_comparison.csv</x:v>
      </x:c>
      <x:c r="M41" s="22" t="str">
        <x:v>PROTOTYPE ONLY — real-system/NFR validation pending</x:v>
      </x:c>
    </x:row>
    <x:row r="42" ht="53" customHeight="1">
      <x:c r="A42" s="22" t="str">
        <x:v>TC-039</x:v>
      </x:c>
      <x:c r="B42" s="22" t="str">
        <x:v>Valid</x:v>
      </x:c>
      <x:c r="C42" s="22" t="str">
        <x:v>SC-11</x:v>
      </x:c>
      <x:c r="D42" s="22" t="str">
        <x:v>FR-9.1.3</x:v>
      </x:c>
      <x:c r="E42" s="22" t="str">
        <x:v>UC-09</x:v>
      </x:c>
      <x:c r="F42" s="22" t="str">
        <x:v>Complete consultation</x:v>
      </x:c>
      <x:c r="G42" s="22" t="str">
        <x:v>Data-driven prototype (JSON / CSV)</x:v>
      </x:c>
      <x:c r="H42" s="22" t="str">
        <x:v>09_Data_Driven_Testing/input/test_cases_input.json; 09_Data_Driven_Testing/input/test_cases_input.csv</x:v>
      </x:c>
      <x:c r="I42" s="22" t="str">
        <x:v>Status becomes Completed</x:v>
      </x:c>
      <x:c r="J42" s="22" t="str">
        <x:v>All input-driven actions and output assertions matched.</x:v>
      </x:c>
      <x:c r="K42" s="22" t="str">
        <x:v>PASS / PASS</x:v>
      </x:c>
      <x:c r="L42" s="22" t="str">
        <x:v>09_Data_Driven_Testing/results/json_all_comparison.csv; 09_Data_Driven_Testing/results/csv_all_comparison.csv</x:v>
      </x:c>
      <x:c r="M42" s="22" t="str">
        <x:v>PROTOTYPE ONLY — real-system/NFR validation pending</x:v>
      </x:c>
    </x:row>
    <x:row r="43" ht="53" customHeight="1">
      <x:c r="A43" s="22" t="str">
        <x:v>TC-040</x:v>
      </x:c>
      <x:c r="B43" s="22" t="str">
        <x:v>Valid</x:v>
      </x:c>
      <x:c r="C43" s="22" t="str">
        <x:v>SC-18</x:v>
      </x:c>
      <x:c r="D43" s="22" t="str">
        <x:v>FR-10.1.1</x:v>
      </x:c>
      <x:c r="E43" s="22" t="str">
        <x:v>UC-10</x:v>
      </x:c>
      <x:c r="F43" s="22" t="str">
        <x:v>Create an eligible slot</x:v>
      </x:c>
      <x:c r="G43" s="22" t="str">
        <x:v>Data-driven prototype (JSON / CSV)</x:v>
      </x:c>
      <x:c r="H43" s="22" t="str">
        <x:v>09_Data_Driven_Testing/input/test_cases_input.json; 09_Data_Driven_Testing/input/test_cases_input.csv</x:v>
      </x:c>
      <x:c r="I43" s="22" t="str">
        <x:v>Slot is created</x:v>
      </x:c>
      <x:c r="J43" s="22" t="str">
        <x:v>All input-driven actions and output assertions matched.</x:v>
      </x:c>
      <x:c r="K43" s="22" t="str">
        <x:v>PASS / PASS</x:v>
      </x:c>
      <x:c r="L43" s="22" t="str">
        <x:v>09_Data_Driven_Testing/results/json_all_comparison.csv; 09_Data_Driven_Testing/results/csv_all_comparison.csv</x:v>
      </x:c>
      <x:c r="M43" s="22" t="str">
        <x:v>PROTOTYPE ONLY — real-system/NFR validation pending</x:v>
      </x:c>
    </x:row>
    <x:row r="44" ht="53" customHeight="1">
      <x:c r="A44" s="22" t="str">
        <x:v>TC-041</x:v>
      </x:c>
      <x:c r="B44" s="22" t="str">
        <x:v>Invalid</x:v>
      </x:c>
      <x:c r="C44" s="22" t="str">
        <x:v>SC-18</x:v>
      </x:c>
      <x:c r="D44" s="22" t="str">
        <x:v>FR-10.1.1</x:v>
      </x:c>
      <x:c r="E44" s="22" t="str">
        <x:v>UC-10</x:v>
      </x:c>
      <x:c r="F44" s="22" t="str">
        <x:v>Create overlapping doctor slot</x:v>
      </x:c>
      <x:c r="G44" s="22" t="str">
        <x:v>Data-driven prototype (JSON / CSV)</x:v>
      </x:c>
      <x:c r="H44" s="22" t="str">
        <x:v>09_Data_Driven_Testing/input/test_cases_input.json; 09_Data_Driven_Testing/input/test_cases_input.csv</x:v>
      </x:c>
      <x:c r="I44" s="22" t="str">
        <x:v>Overlapping slot is rejected</x:v>
      </x:c>
      <x:c r="J44" s="22" t="str">
        <x:v>All input-driven actions and output assertions matched.</x:v>
      </x:c>
      <x:c r="K44" s="22" t="str">
        <x:v>PASS / PASS</x:v>
      </x:c>
      <x:c r="L44" s="22" t="str">
        <x:v>09_Data_Driven_Testing/results/json_all_comparison.csv; 09_Data_Driven_Testing/results/csv_all_comparison.csv</x:v>
      </x:c>
      <x:c r="M44" s="22" t="str">
        <x:v>PROTOTYPE ONLY — real-system/NFR validation pending</x:v>
      </x:c>
    </x:row>
    <x:row r="45" ht="53" customHeight="1">
      <x:c r="A45" s="22" t="str">
        <x:v>TC-042</x:v>
      </x:c>
      <x:c r="B45" s="22" t="str">
        <x:v>Exceptional</x:v>
      </x:c>
      <x:c r="C45" s="22" t="str">
        <x:v>SC-09</x:v>
      </x:c>
      <x:c r="D45" s="22" t="str">
        <x:v>FR-10.1.2</x:v>
      </x:c>
      <x:c r="E45" s="22" t="str">
        <x:v>UC-10</x:v>
      </x:c>
      <x:c r="F45" s="22" t="str">
        <x:v>Unexpected doctor absence</x:v>
      </x:c>
      <x:c r="G45" s="22" t="str">
        <x:v>Data-driven prototype (JSON / CSV)</x:v>
      </x:c>
      <x:c r="H45" s="22" t="str">
        <x:v>09_Data_Driven_Testing/input/test_cases_input.json; 09_Data_Driven_Testing/input/test_cases_input.csv</x:v>
      </x:c>
      <x:c r="I45" s="22" t="str">
        <x:v>Impacted bookings are flagged</x:v>
      </x:c>
      <x:c r="J45" s="22" t="str">
        <x:v>All input-driven actions and output assertions matched.</x:v>
      </x:c>
      <x:c r="K45" s="22" t="str">
        <x:v>PASS / PASS</x:v>
      </x:c>
      <x:c r="L45" s="22" t="str">
        <x:v>09_Data_Driven_Testing/results/json_all_comparison.csv; 09_Data_Driven_Testing/results/csv_all_comparison.csv</x:v>
      </x:c>
      <x:c r="M45" s="22" t="str">
        <x:v>PROTOTYPE ONLY — real-system/NFR validation pending</x:v>
      </x:c>
    </x:row>
    <x:row r="46" ht="53" customHeight="1">
      <x:c r="A46" s="22" t="str">
        <x:v>TC-043</x:v>
      </x:c>
      <x:c r="B46" s="22" t="str">
        <x:v>Audit</x:v>
      </x:c>
      <x:c r="C46" s="22" t="str">
        <x:v>SC-18</x:v>
      </x:c>
      <x:c r="D46" s="22" t="str">
        <x:v>FR-10.1.3</x:v>
      </x:c>
      <x:c r="E46" s="22" t="str">
        <x:v>UC-10</x:v>
      </x:c>
      <x:c r="F46" s="22" t="str">
        <x:v>Audit physician schedule update</x:v>
      </x:c>
      <x:c r="G46" s="22" t="str">
        <x:v>Data-driven prototype (JSON / CSV)</x:v>
      </x:c>
      <x:c r="H46" s="22" t="str">
        <x:v>09_Data_Driven_Testing/input/test_cases_input.json; 09_Data_Driven_Testing/input/test_cases_input.csv</x:v>
      </x:c>
      <x:c r="I46" s="22" t="str">
        <x:v>Actor, time and before/after values appear</x:v>
      </x:c>
      <x:c r="J46" s="22" t="str">
        <x:v>All input-driven actions and output assertions matched.</x:v>
      </x:c>
      <x:c r="K46" s="22" t="str">
        <x:v>PASS / PASS</x:v>
      </x:c>
      <x:c r="L46" s="22" t="str">
        <x:v>09_Data_Driven_Testing/results/json_all_comparison.csv; 09_Data_Driven_Testing/results/csv_all_comparison.csv</x:v>
      </x:c>
      <x:c r="M46" s="22" t="str">
        <x:v>PROTOTYPE ONLY — real-system/NFR validation pending</x:v>
      </x:c>
    </x:row>
    <x:row r="47" ht="53" customHeight="1">
      <x:c r="A47" s="22" t="str">
        <x:v>TC-044</x:v>
      </x:c>
      <x:c r="B47" s="22" t="str">
        <x:v>Valid</x:v>
      </x:c>
      <x:c r="C47" s="22" t="str">
        <x:v>SC-01</x:v>
      </x:c>
      <x:c r="D47" s="22" t="str">
        <x:v>FR-11.1.1</x:v>
      </x:c>
      <x:c r="E47" s="22" t="str">
        <x:v>UC-11</x:v>
      </x:c>
      <x:c r="F47" s="22" t="str">
        <x:v>Booking produces an outbox event</x:v>
      </x:c>
      <x:c r="G47" s="22" t="str">
        <x:v>Data-driven prototype (JSON / CSV)</x:v>
      </x:c>
      <x:c r="H47" s="22" t="str">
        <x:v>09_Data_Driven_Testing/input/test_cases_input.json; 09_Data_Driven_Testing/input/test_cases_input.csv</x:v>
      </x:c>
      <x:c r="I47" s="22" t="str">
        <x:v>Unique notification event is recorded</x:v>
      </x:c>
      <x:c r="J47" s="22" t="str">
        <x:v>All input-driven actions and output assertions matched.</x:v>
      </x:c>
      <x:c r="K47" s="22" t="str">
        <x:v>PASS / PASS</x:v>
      </x:c>
      <x:c r="L47" s="22" t="str">
        <x:v>09_Data_Driven_Testing/results/json_all_comparison.csv; 09_Data_Driven_Testing/results/csv_all_comparison.csv</x:v>
      </x:c>
      <x:c r="M47" s="22" t="str">
        <x:v>PROTOTYPE ONLY — real-system/NFR validation pending</x:v>
      </x:c>
    </x:row>
    <x:row r="48" ht="53" customHeight="1">
      <x:c r="A48" s="22" t="str">
        <x:v>TC-045</x:v>
      </x:c>
      <x:c r="B48" s="22" t="str">
        <x:v>Valid</x:v>
      </x:c>
      <x:c r="C48" s="22" t="str">
        <x:v>SC-04</x:v>
      </x:c>
      <x:c r="D48" s="22" t="str">
        <x:v>FR-11.1.1</x:v>
      </x:c>
      <x:c r="E48" s="22" t="str">
        <x:v>UC-11</x:v>
      </x:c>
      <x:c r="F48" s="22" t="str">
        <x:v>Cancellation produces an outbox event</x:v>
      </x:c>
      <x:c r="G48" s="22" t="str">
        <x:v>Data-driven prototype (JSON / CSV)</x:v>
      </x:c>
      <x:c r="H48" s="22" t="str">
        <x:v>09_Data_Driven_Testing/input/test_cases_input.json; 09_Data_Driven_Testing/input/test_cases_input.csv</x:v>
      </x:c>
      <x:c r="I48" s="22" t="str">
        <x:v>Cancellation event is recorded</x:v>
      </x:c>
      <x:c r="J48" s="22" t="str">
        <x:v>All input-driven actions and output assertions matched.</x:v>
      </x:c>
      <x:c r="K48" s="22" t="str">
        <x:v>PASS / PASS</x:v>
      </x:c>
      <x:c r="L48" s="22" t="str">
        <x:v>09_Data_Driven_Testing/results/json_all_comparison.csv; 09_Data_Driven_Testing/results/csv_all_comparison.csv</x:v>
      </x:c>
      <x:c r="M48" s="22" t="str">
        <x:v>PROTOTYPE ONLY — real-system/NFR validation pending</x:v>
      </x:c>
    </x:row>
    <x:row r="49" ht="53" customHeight="1">
      <x:c r="A49" s="22" t="str">
        <x:v>TC-046</x:v>
      </x:c>
      <x:c r="B49" s="22" t="str">
        <x:v>Failure</x:v>
      </x:c>
      <x:c r="C49" s="22" t="str">
        <x:v>SC-12</x:v>
      </x:c>
      <x:c r="D49" s="22" t="str">
        <x:v>FR-11.1.2</x:v>
      </x:c>
      <x:c r="E49" s="22" t="str">
        <x:v>UC-11</x:v>
      </x:c>
      <x:c r="F49" s="22" t="str">
        <x:v>Provider fails to deliver a notification</x:v>
      </x:c>
      <x:c r="G49" s="22" t="str">
        <x:v>Data-driven prototype (JSON / CSV)</x:v>
      </x:c>
      <x:c r="H49" s="22" t="str">
        <x:v>09_Data_Driven_Testing/input/test_cases_input.json; 09_Data_Driven_Testing/input/test_cases_input.csv</x:v>
      </x:c>
      <x:c r="I49" s="22" t="str">
        <x:v>Booking remains Confirmed</x:v>
      </x:c>
      <x:c r="J49" s="22" t="str">
        <x:v>All input-driven actions and output assertions matched.</x:v>
      </x:c>
      <x:c r="K49" s="22" t="str">
        <x:v>PASS / PASS</x:v>
      </x:c>
      <x:c r="L49" s="22" t="str">
        <x:v>09_Data_Driven_Testing/results/json_all_comparison.csv; 09_Data_Driven_Testing/results/csv_all_comparison.csv</x:v>
      </x:c>
      <x:c r="M49" s="22" t="str">
        <x:v>PROTOTYPE ONLY — real-system/NFR validation pending</x:v>
      </x:c>
    </x:row>
    <x:row r="50" ht="53" customHeight="1">
      <x:c r="A50" s="22" t="str">
        <x:v>TC-047</x:v>
      </x:c>
      <x:c r="B50" s="22" t="str">
        <x:v>Idempotency</x:v>
      </x:c>
      <x:c r="C50" s="22" t="str">
        <x:v>SC-12</x:v>
      </x:c>
      <x:c r="D50" s="22" t="str">
        <x:v>FR-11.1.2</x:v>
      </x:c>
      <x:c r="E50" s="22" t="str">
        <x:v>UC-11</x:v>
      </x:c>
      <x:c r="F50" s="22" t="str">
        <x:v>Provider retries an event</x:v>
      </x:c>
      <x:c r="G50" s="22" t="str">
        <x:v>Data-driven prototype (JSON / CSV)</x:v>
      </x:c>
      <x:c r="H50" s="22" t="str">
        <x:v>09_Data_Driven_Testing/input/test_cases_input.json; 09_Data_Driven_Testing/input/test_cases_input.csv</x:v>
      </x:c>
      <x:c r="I50" s="22" t="str">
        <x:v>No duplicate logical event is produced</x:v>
      </x:c>
      <x:c r="J50" s="22" t="str">
        <x:v>All input-driven actions and output assertions matched.</x:v>
      </x:c>
      <x:c r="K50" s="22" t="str">
        <x:v>PASS / PASS</x:v>
      </x:c>
      <x:c r="L50" s="22" t="str">
        <x:v>09_Data_Driven_Testing/results/json_all_comparison.csv; 09_Data_Driven_Testing/results/csv_all_comparison.csv</x:v>
      </x:c>
      <x:c r="M50" s="22" t="str">
        <x:v>PROTOTYPE ONLY — real-system/NFR validation pending</x:v>
      </x:c>
    </x:row>
    <x:row r="51" ht="53" customHeight="1">
      <x:c r="A51" s="22" t="str">
        <x:v>TC-048</x:v>
      </x:c>
      <x:c r="B51" s="22" t="str">
        <x:v>Valid</x:v>
      </x:c>
      <x:c r="C51" s="22" t="str">
        <x:v>SC-14</x:v>
      </x:c>
      <x:c r="D51" s="22" t="str">
        <x:v>FR-12.1.1</x:v>
      </x:c>
      <x:c r="E51" s="22" t="str">
        <x:v>UC-12</x:v>
      </x:c>
      <x:c r="F51" s="22" t="str">
        <x:v>Correct appointment status summary</x:v>
      </x:c>
      <x:c r="G51" s="22" t="str">
        <x:v>Data-driven prototype (JSON / CSV)</x:v>
      </x:c>
      <x:c r="H51" s="22" t="str">
        <x:v>09_Data_Driven_Testing/input/test_cases_input.json; 09_Data_Driven_Testing/input/test_cases_input.csv</x:v>
      </x:c>
      <x:c r="I51" s="22" t="str">
        <x:v>Totals match appointment records</x:v>
      </x:c>
      <x:c r="J51" s="22" t="str">
        <x:v>All input-driven actions and output assertions matched.</x:v>
      </x:c>
      <x:c r="K51" s="22" t="str">
        <x:v>PASS / PASS</x:v>
      </x:c>
      <x:c r="L51" s="22" t="str">
        <x:v>09_Data_Driven_Testing/results/json_all_comparison.csv; 09_Data_Driven_Testing/results/csv_all_comparison.csv</x:v>
      </x:c>
      <x:c r="M51" s="22" t="str">
        <x:v>PROTOTYPE ONLY — real-system/NFR validation pending</x:v>
      </x:c>
    </x:row>
    <x:row r="52" ht="53" customHeight="1">
      <x:c r="A52" s="22" t="str">
        <x:v>TC-049</x:v>
      </x:c>
      <x:c r="B52" s="22" t="str">
        <x:v>Valid</x:v>
      </x:c>
      <x:c r="C52" s="22" t="str">
        <x:v>SC-14</x:v>
      </x:c>
      <x:c r="D52" s="22" t="str">
        <x:v>FR-12.1.2</x:v>
      </x:c>
      <x:c r="E52" s="22" t="str">
        <x:v>UC-12</x:v>
      </x:c>
      <x:c r="F52" s="22" t="str">
        <x:v>Audit fields are present</x:v>
      </x:c>
      <x:c r="G52" s="22" t="str">
        <x:v>Data-driven prototype (JSON / CSV)</x:v>
      </x:c>
      <x:c r="H52" s="22" t="str">
        <x:v>09_Data_Driven_Testing/input/test_cases_input.json; 09_Data_Driven_Testing/input/test_cases_input.csv</x:v>
      </x:c>
      <x:c r="I52" s="22" t="str">
        <x:v>Actor, action and timestamp are present</x:v>
      </x:c>
      <x:c r="J52" s="22" t="str">
        <x:v>All input-driven actions and output assertions matched.</x:v>
      </x:c>
      <x:c r="K52" s="22" t="str">
        <x:v>PASS / PASS</x:v>
      </x:c>
      <x:c r="L52" s="22" t="str">
        <x:v>09_Data_Driven_Testing/results/json_all_comparison.csv; 09_Data_Driven_Testing/results/csv_all_comparison.csv</x:v>
      </x:c>
      <x:c r="M52" s="22" t="str">
        <x:v>PROTOTYPE ONLY — real-system/NFR validation pending</x:v>
      </x:c>
    </x:row>
    <x:row r="53" ht="53" customHeight="1">
      <x:c r="A53" s="22" t="str">
        <x:v>TC-050</x:v>
      </x:c>
      <x:c r="B53" s="22" t="str">
        <x:v>Security</x:v>
      </x:c>
      <x:c r="C53" s="22" t="str">
        <x:v>SC-13</x:v>
      </x:c>
      <x:c r="D53" s="22" t="str">
        <x:v>FR-12.1.3</x:v>
      </x:c>
      <x:c r="E53" s="22" t="str">
        <x:v>UC-12</x:v>
      </x:c>
      <x:c r="F53" s="22" t="str">
        <x:v>Patient requests an administrative report</x:v>
      </x:c>
      <x:c r="G53" s="22" t="str">
        <x:v>Data-driven prototype (JSON / CSV)</x:v>
      </x:c>
      <x:c r="H53" s="22" t="str">
        <x:v>09_Data_Driven_Testing/input/test_cases_input.json; 09_Data_Driven_Testing/input/test_cases_input.csv</x:v>
      </x:c>
      <x:c r="I53" s="22" t="str">
        <x:v>Access denied</x:v>
      </x:c>
      <x:c r="J53" s="22" t="str">
        <x:v>All input-driven actions and output assertions matched.</x:v>
      </x:c>
      <x:c r="K53" s="22" t="str">
        <x:v>PASS / PASS</x:v>
      </x:c>
      <x:c r="L53" s="22" t="str">
        <x:v>09_Data_Driven_Testing/results/json_all_comparison.csv; 09_Data_Driven_Testing/results/csv_all_comparison.csv</x:v>
      </x:c>
      <x:c r="M53" s="22" t="str">
        <x:v>PROTOTYPE ONLY — real-system/NFR validation pending</x:v>
      </x:c>
    </x:row>
  </x:sheetData>
  <x:mergeCells>
    <x:mergeCell ref="A1:H1"/>
    <x:mergeCell ref="A2:J2"/>
  </x:mergeCells>
  <x:pageMargins left="0.7" right="0.7" top="0.75" bottom="0.75" header="0.3" footer="0.3"/>
  <x:tableParts count="1">
    <x:tablePart xmlns:r="http://schemas.openxmlformats.org/officeDocument/2006/relationships" r:id="Rd5ce327815ee4d4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5" hidden="0" customWidth="1"/>
    <x:col min="8" max="8" width="34" hidden="0" customWidth="1"/>
    <x:col min="9" max="9" width="32" hidden="0" customWidth="1"/>
    <x:col min="10" max="10" width="35" hidden="0" customWidth="1"/>
    <x:col min="11" max="11" width="34" hidden="0" customWidth="1"/>
    <x:col min="12" max="12" width="50" hidden="0" customWidth="1"/>
    <x:col min="13" max="13" width="50" hidden="0" customWidth="1"/>
    <x:col min="14" max="14" width="38" hidden="0" customWidth="1"/>
    <x:col min="15" max="15" width="38" hidden="0" customWidth="1"/>
    <x:col min="16" max="16" width="30" hidden="0" customWidth="1"/>
    <x:col min="17" max="17" width="42" hidden="0" customWidth="1"/>
    <x:col min="18" max="18" width="42" hidden="0" customWidth="1"/>
    <x:col min="19" max="19" width="42" hidden="0" customWidth="1"/>
  </x:cols>
  <x:sheetData>
    <x:row r="1" ht="35" customHeight="1">
      <x:c r="A1" s="4" t="str">
        <x:v>HOAS | 09_TestCase_Activity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0" customHeight="1">
      <x:c r="A2" s="10" t="str">
        <x:v>STEP 8/8 | Detailed test case, activity diagram, executable operations and assertions; synthetic fixtures only.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38" customHeight="1">
      <x:c r="A3" s="17" t="str">
        <x:v>Scenario</x:v>
      </x:c>
      <x:c r="B3" s="17" t="str">
        <x:v>Requirement</x:v>
      </x:c>
      <x:c r="C3" s="17" t="str">
        <x:v>Business Rules</x:v>
      </x:c>
      <x:c r="D3" s="17" t="str">
        <x:v>Use Case</x:v>
      </x:c>
      <x:c r="E3" s="17" t="str">
        <x:v>NFR context</x:v>
      </x:c>
      <x:c r="F3" s="17" t="str">
        <x:v>Hazard context</x:v>
      </x:c>
      <x:c r="G3" s="17" t="str">
        <x:v>Test Case ID</x:v>
      </x:c>
      <x:c r="H3" s="17" t="str">
        <x:v>Test name</x:v>
      </x:c>
      <x:c r="I3" s="17" t="str">
        <x:v>Activity / Model</x:v>
      </x:c>
      <x:c r="J3" s="17" t="str">
        <x:v>Preconditions</x:v>
      </x:c>
      <x:c r="K3" s="17" t="str">
        <x:v>Manual test steps</x:v>
      </x:c>
      <x:c r="L3" s="17" t="str">
        <x:v>Code test operations</x:v>
      </x:c>
      <x:c r="M3" s="17" t="str">
        <x:v>Assertions</x:v>
      </x:c>
      <x:c r="N3" s="17" t="str">
        <x:v>Expected</x:v>
      </x:c>
      <x:c r="O3" s="17" t="str">
        <x:v>Actual (prototype)</x:v>
      </x:c>
      <x:c r="P3" s="17" t="str">
        <x:v>JSON / CSV</x:v>
      </x:c>
      <x:c r="Q3" s="17" t="str">
        <x:v>Input JSON file</x:v>
      </x:c>
      <x:c r="R3" s="17" t="str">
        <x:v>Input CSV file</x:v>
      </x:c>
      <x:c r="S3" s="17" t="str">
        <x:v>Evidence files</x:v>
      </x:c>
    </x:row>
    <x:row r="4" ht="53" customHeight="1">
      <x:c r="A4" s="22" t="str">
        <x:v>SC-15</x:v>
      </x:c>
      <x:c r="B4" s="22" t="str">
        <x:v>FR-1.1.1</x:v>
      </x:c>
      <x:c r="C4" s="22" t="str">
        <x:v>BR-01</x:v>
      </x:c>
      <x:c r="D4" s="22" t="str">
        <x:v>UC-01</x:v>
      </x:c>
      <x:c r="E4" s="22" t="str">
        <x:v>NFR-3.1; NFR-3.2; NFR-4.1</x:v>
      </x:c>
      <x:c r="F4" s="22" t="str">
        <x:v>HZ-02</x:v>
      </x:c>
      <x:c r="G4" s="22" t="str">
        <x:v>TC-001</x:v>
      </x:c>
      <x:c r="H4" s="22" t="str">
        <x:v>Valid registration</x:v>
      </x:c>
      <x:c r="I4" s="22" t="str">
        <x:v>M-01 System Use Case Diagram</x:v>
      </x:c>
      <x:c r="J4" s="22" t="str">
        <x:v>Required synthetic test fixtures exist and the actor is set up for the scenario</x:v>
      </x:c>
      <x:c r="K4" s="22" t="str">
        <x:v>1. Prepare the fixture; 2. Perform the action; 3. Check the expected outcome</x:v>
      </x:c>
      <x:c r="L4" s="22" t="str">
        <x:v>register_patient(name=Sample Patient, phone=0912345678, date_of_birth=2001-06-10, password=SamplePass123)</x:v>
      </x:c>
      <x:c r="M4" s="22" t="str">
        <x:v>model.patients.0912345678.phone: {"equals": "0912345678"}</x:v>
      </x:c>
      <x:c r="N4" s="22" t="str">
        <x:v>Patient account is created</x:v>
      </x:c>
      <x:c r="O4" s="22" t="str">
        <x:v>All input-driven actions and output assertions matched.</x:v>
      </x:c>
      <x:c r="P4" s="22" t="str">
        <x:v>PASS / PASS</x:v>
      </x:c>
      <x:c r="Q4" s="22" t="str">
        <x:v>09_Data_Driven_Testing/input/test_cases_input.json</x:v>
      </x:c>
      <x:c r="R4" s="22" t="str">
        <x:v>09_Data_Driven_Testing/input/test_cases_input.csv</x:v>
      </x:c>
      <x:c r="S4" s="22" t="str">
        <x:v>09_Data_Driven_Testing/results/json_all_comparison.csv; 09_Data_Driven_Testing/results/csv_all_comparison.csv</x:v>
      </x:c>
    </x:row>
    <x:row r="5" ht="53" customHeight="1">
      <x:c r="A5" s="22" t="str">
        <x:v>SC-15</x:v>
      </x:c>
      <x:c r="B5" s="22" t="str">
        <x:v>FR-1.1.2</x:v>
      </x:c>
      <x:c r="C5" s="22" t="str">
        <x:v>BR-01</x:v>
      </x:c>
      <x:c r="D5" s="22" t="str">
        <x:v>UC-01</x:v>
      </x:c>
      <x:c r="E5" s="22" t="str">
        <x:v>NFR-3.1; NFR-3.2; NFR-4.1</x:v>
      </x:c>
      <x:c r="F5" s="22" t="str">
        <x:v>HZ-02</x:v>
      </x:c>
      <x:c r="G5" s="22" t="str">
        <x:v>TC-002</x:v>
      </x:c>
      <x:c r="H5" s="22" t="str">
        <x:v>Missing date of birth</x:v>
      </x:c>
      <x:c r="I5" s="22" t="str">
        <x:v>M-01 System Use Case Diagram</x:v>
      </x:c>
      <x:c r="J5" s="22" t="str">
        <x:v>Required synthetic test fixtures exist and the actor is set up for the scenario</x:v>
      </x:c>
      <x:c r="K5" s="22" t="str">
        <x:v>1. Prepare the fixture; 2. Perform the action; 3. Check the expected outcome</x:v>
      </x:c>
      <x:c r="L5" s="22" t="str">
        <x:v>register_patient(name=A, phone=0912345678, date_of_birth=, password=Password123) (expect error)</x:v>
      </x:c>
      <x:c r="M5" s="22" t="str">
        <x:v>model.patients: {"length": 0}</x:v>
      </x:c>
      <x:c r="N5" s="22" t="str">
        <x:v>Registration is rejected with a missing-field indication</x:v>
      </x:c>
      <x:c r="O5" s="22" t="str">
        <x:v>All input-driven actions and output assertions matched.</x:v>
      </x:c>
      <x:c r="P5" s="22" t="str">
        <x:v>PASS / PASS</x:v>
      </x:c>
      <x:c r="Q5" s="22" t="str">
        <x:v>09_Data_Driven_Testing/input/test_cases_input.json</x:v>
      </x:c>
      <x:c r="R5" s="22" t="str">
        <x:v>09_Data_Driven_Testing/input/test_cases_input.csv</x:v>
      </x:c>
      <x:c r="S5" s="22" t="str">
        <x:v>09_Data_Driven_Testing/results/json_all_comparison.csv; 09_Data_Driven_Testing/results/csv_all_comparison.csv</x:v>
      </x:c>
    </x:row>
    <x:row r="6" ht="53" customHeight="1">
      <x:c r="A6" s="22" t="str">
        <x:v>SC-15</x:v>
      </x:c>
      <x:c r="B6" s="22" t="str">
        <x:v>FR-1.1.2</x:v>
      </x:c>
      <x:c r="C6" s="22" t="str">
        <x:v>BR-01</x:v>
      </x:c>
      <x:c r="D6" s="22" t="str">
        <x:v>UC-01</x:v>
      </x:c>
      <x:c r="E6" s="22" t="str">
        <x:v>NFR-3.1; NFR-3.2; NFR-4.1</x:v>
      </x:c>
      <x:c r="F6" s="22" t="str">
        <x:v>HZ-02</x:v>
      </x:c>
      <x:c r="G6" s="22" t="str">
        <x:v>TC-003</x:v>
      </x:c>
      <x:c r="H6" s="22" t="str">
        <x:v>Duplicate phone number</x:v>
      </x:c>
      <x:c r="I6" s="22" t="str">
        <x:v>M-01 System Use Case Diagram</x:v>
      </x:c>
      <x:c r="J6" s="22" t="str">
        <x:v>Required synthetic test fixtures exist and the actor is set up for the scenario</x:v>
      </x:c>
      <x:c r="K6" s="22" t="str">
        <x:v>1. Prepare the fixture; 2. Perform the action; 3. Check the expected outcome</x:v>
      </x:c>
      <x:c r="L6" s="22" t="str">
        <x:v>register_patient(name=Sample Patient, phone=0912345678, date_of_birth=2001-06-10, password=SamplePass123); register_patient(name=Other, phone=0912345678, date_of_birth=2000-01-01, password=Password123) (expect error)</x:v>
      </x:c>
      <x:c r="M6" s="22" t="str">
        <x:v>model.patients: {"length": 1}</x:v>
      </x:c>
      <x:c r="N6" s="22" t="str">
        <x:v>Duplicate account creation is rejected</x:v>
      </x:c>
      <x:c r="O6" s="22" t="str">
        <x:v>All input-driven actions and output assertions matched.</x:v>
      </x:c>
      <x:c r="P6" s="22" t="str">
        <x:v>PASS / PASS</x:v>
      </x:c>
      <x:c r="Q6" s="22" t="str">
        <x:v>09_Data_Driven_Testing/input/test_cases_input.json</x:v>
      </x:c>
      <x:c r="R6" s="22" t="str">
        <x:v>09_Data_Driven_Testing/input/test_cases_input.csv</x:v>
      </x:c>
      <x:c r="S6" s="22" t="str">
        <x:v>09_Data_Driven_Testing/results/json_all_comparison.csv; 09_Data_Driven_Testing/results/csv_all_comparison.csv</x:v>
      </x:c>
    </x:row>
    <x:row r="7" ht="53" customHeight="1">
      <x:c r="A7" s="22" t="str">
        <x:v>SC-15</x:v>
      </x:c>
      <x:c r="B7" s="22" t="str">
        <x:v>FR-1.1.3</x:v>
      </x:c>
      <x:c r="C7" s="22" t="str">
        <x:v>BR-01</x:v>
      </x:c>
      <x:c r="D7" s="22" t="str">
        <x:v>UC-01</x:v>
      </x:c>
      <x:c r="E7" s="22" t="str">
        <x:v>NFR-3.1; NFR-3.2; NFR-4.1</x:v>
      </x:c>
      <x:c r="F7" s="22" t="str">
        <x:v>HZ-02</x:v>
      </x:c>
      <x:c r="G7" s="22" t="str">
        <x:v>TC-004</x:v>
      </x:c>
      <x:c r="H7" s="22" t="str">
        <x:v>Valid sign-in</x:v>
      </x:c>
      <x:c r="I7" s="22" t="str">
        <x:v>M-01 System Use Case Diagram</x:v>
      </x:c>
      <x:c r="J7" s="22" t="str">
        <x:v>Required synthetic test fixtures exist and the actor is set up for the scenario</x:v>
      </x:c>
      <x:c r="K7" s="22" t="str">
        <x:v>1. Prepare the fixture; 2. Perform the action; 3. Check the expected outcome</x:v>
      </x:c>
      <x:c r="L7" s="22" t="str">
        <x:v>register_patient(name=Sample Patient, phone=0912345678, date_of_birth=2001-06-10, password=SamplePass123); login_patient()</x:v>
      </x:c>
      <x:c r="M7" s="22" t="str">
        <x:v>saved.login.role: {"equals": "Patient"}; saved.login.session_id: {"starts_with": "SESSION-"}</x:v>
      </x:c>
      <x:c r="N7" s="22" t="str">
        <x:v>A session with the correct role is created</x:v>
      </x:c>
      <x:c r="O7" s="22" t="str">
        <x:v>All input-driven actions and output assertions matched.</x:v>
      </x:c>
      <x:c r="P7" s="22" t="str">
        <x:v>PASS / PASS</x:v>
      </x:c>
      <x:c r="Q7" s="22" t="str">
        <x:v>09_Data_Driven_Testing/input/test_cases_input.json</x:v>
      </x:c>
      <x:c r="R7" s="22" t="str">
        <x:v>09_Data_Driven_Testing/input/test_cases_input.csv</x:v>
      </x:c>
      <x:c r="S7" s="22" t="str">
        <x:v>09_Data_Driven_Testing/results/json_all_comparison.csv; 09_Data_Driven_Testing/results/csv_all_comparison.csv</x:v>
      </x:c>
    </x:row>
    <x:row r="8" ht="53" customHeight="1">
      <x:c r="A8" s="22" t="str">
        <x:v>SC-15</x:v>
      </x:c>
      <x:c r="B8" s="22" t="str">
        <x:v>FR-1.1.3</x:v>
      </x:c>
      <x:c r="C8" s="22" t="str">
        <x:v>BR-01</x:v>
      </x:c>
      <x:c r="D8" s="22" t="str">
        <x:v>UC-01</x:v>
      </x:c>
      <x:c r="E8" s="22" t="str">
        <x:v>NFR-3.1; NFR-3.2; NFR-4.1</x:v>
      </x:c>
      <x:c r="F8" s="22" t="str">
        <x:v>HZ-02</x:v>
      </x:c>
      <x:c r="G8" s="22" t="str">
        <x:v>TC-005</x:v>
      </x:c>
      <x:c r="H8" s="22" t="str">
        <x:v>Incorrect password</x:v>
      </x:c>
      <x:c r="I8" s="22" t="str">
        <x:v>M-01 System Use Case Diagram</x:v>
      </x:c>
      <x:c r="J8" s="22" t="str">
        <x:v>Required synthetic test fixtures exist and the actor is set up for the scenario</x:v>
      </x:c>
      <x:c r="K8" s="22" t="str">
        <x:v>1. Prepare the fixture; 2. Perform the action; 3. Check the expected outcome</x:v>
      </x:c>
      <x:c r="L8" s="22" t="str">
        <x:v>register_patient(name=Sample Patient, phone=0912345678, date_of_birth=2001-06-10, password=SamplePass123); login_patient() (expect error)</x:v>
      </x:c>
      <x:c r="M8" s="22" t="str">
        <x:v>model._sessions: {"length": 0}</x:v>
      </x:c>
      <x:c r="N8" s="22" t="str">
        <x:v>No session is created</x:v>
      </x:c>
      <x:c r="O8" s="22" t="str">
        <x:v>All input-driven actions and output assertions matched.</x:v>
      </x:c>
      <x:c r="P8" s="22" t="str">
        <x:v>PASS / PASS</x:v>
      </x:c>
      <x:c r="Q8" s="22" t="str">
        <x:v>09_Data_Driven_Testing/input/test_cases_input.json</x:v>
      </x:c>
      <x:c r="R8" s="22" t="str">
        <x:v>09_Data_Driven_Testing/input/test_cases_input.csv</x:v>
      </x:c>
      <x:c r="S8" s="22" t="str">
        <x:v>09_Data_Driven_Testing/results/json_all_comparison.csv; 09_Data_Driven_Testing/results/csv_all_comparison.csv</x:v>
      </x:c>
    </x:row>
    <x:row r="9" ht="53" customHeight="1">
      <x:c r="A9" s="22" t="str">
        <x:v>SC-16</x:v>
      </x:c>
      <x:c r="B9" s="22" t="str">
        <x:v>FR-2.1.1</x:v>
      </x:c>
      <x:c r="C9" s="22" t="str">
        <x:v>BR-10</x:v>
      </x:c>
      <x:c r="D9" s="22" t="str">
        <x:v>UC-02</x:v>
      </x:c>
      <x:c r="E9" s="22" t="str">
        <x:v>NFR-3.1</x:v>
      </x:c>
      <x:c r="F9" s="22" t="str">
        <x:v>HZ-02</x:v>
      </x:c>
      <x:c r="G9" s="22" t="str">
        <x:v>TC-006</x:v>
      </x:c>
      <x:c r="H9" s="22" t="str">
        <x:v>View own profile</x:v>
      </x:c>
      <x:c r="I9" s="22" t="str">
        <x:v>M-01 System Use Case Diagram</x:v>
      </x:c>
      <x:c r="J9" s="22" t="str">
        <x:v>Required synthetic test fixtures exist and the actor is set up for the scenario</x:v>
      </x:c>
      <x:c r="K9" s="22" t="str">
        <x:v>1. Prepare the fixture; 2. Perform the action; 3. Check the expected outcome</x:v>
      </x:c>
      <x:c r="L9" s="22" t="str">
        <x:v>register_patient(name=Sample Patient, phone=0912345678, date_of_birth=2001-06-10, password=SamplePass123); patient_profile(); patient_profile() (expect error)</x:v>
      </x:c>
      <x:c r="M9" s="22" t="str">
        <x:v>saved.profile.phone: {"equals": "0912345678"}</x:v>
      </x:c>
      <x:c r="N9" s="22" t="str">
        <x:v>Only the authenticated patient’s information is displayed</x:v>
      </x:c>
      <x:c r="O9" s="22" t="str">
        <x:v>All input-driven actions and output assertions matched.</x:v>
      </x:c>
      <x:c r="P9" s="22" t="str">
        <x:v>PASS / PASS</x:v>
      </x:c>
      <x:c r="Q9" s="22" t="str">
        <x:v>09_Data_Driven_Testing/input/test_cases_input.json</x:v>
      </x:c>
      <x:c r="R9" s="22" t="str">
        <x:v>09_Data_Driven_Testing/input/test_cases_input.csv</x:v>
      </x:c>
      <x:c r="S9" s="22" t="str">
        <x:v>09_Data_Driven_Testing/results/json_all_comparison.csv; 09_Data_Driven_Testing/results/csv_all_comparison.csv</x:v>
      </x:c>
    </x:row>
    <x:row r="10" ht="53" customHeight="1">
      <x:c r="A10" s="22" t="str">
        <x:v>SC-16</x:v>
      </x:c>
      <x:c r="B10" s="22" t="str">
        <x:v>FR-2.1.2</x:v>
      </x:c>
      <x:c r="C10" s="22" t="str">
        <x:v>BR-10</x:v>
      </x:c>
      <x:c r="D10" s="22" t="str">
        <x:v>UC-02</x:v>
      </x:c>
      <x:c r="E10" s="22" t="str">
        <x:v>NFR-3.1</x:v>
      </x:c>
      <x:c r="F10" s="22" t="str">
        <x:v>HZ-02</x:v>
      </x:c>
      <x:c r="G10" s="22" t="str">
        <x:v>TC-007</x:v>
      </x:c>
      <x:c r="H10" s="22" t="str">
        <x:v>Update address</x:v>
      </x:c>
      <x:c r="I10" s="22" t="str">
        <x:v>M-01 System Use Case Diagram</x:v>
      </x:c>
      <x:c r="J10" s="22" t="str">
        <x:v>Required synthetic test fixtures exist and the actor is set up for the scenario</x:v>
      </x:c>
      <x:c r="K10" s="22" t="str">
        <x:v>1. Prepare the fixture; 2. Perform the action; 3. Check the expected outcome</x:v>
      </x:c>
      <x:c r="L10" s="22" t="str">
        <x:v>register_patient(name=Sample Patient, phone=0912345678, date_of_birth=2001-06-10, password=SamplePass123); update_patient_profile(address=123 Example Street)</x:v>
      </x:c>
      <x:c r="M10" s="22" t="str">
        <x:v>model.patients.0912345678.address: {"equals": "123 Example Street"}</x:v>
      </x:c>
      <x:c r="N10" s="22" t="str">
        <x:v>New address is saved</x:v>
      </x:c>
      <x:c r="O10" s="22" t="str">
        <x:v>All input-driven actions and output assertions matched.</x:v>
      </x:c>
      <x:c r="P10" s="22" t="str">
        <x:v>PASS / PASS</x:v>
      </x:c>
      <x:c r="Q10" s="22" t="str">
        <x:v>09_Data_Driven_Testing/input/test_cases_input.json</x:v>
      </x:c>
      <x:c r="R10" s="22" t="str">
        <x:v>09_Data_Driven_Testing/input/test_cases_input.csv</x:v>
      </x:c>
      <x:c r="S10" s="22" t="str">
        <x:v>09_Data_Driven_Testing/results/json_all_comparison.csv; 09_Data_Driven_Testing/results/csv_all_comparison.csv</x:v>
      </x:c>
    </x:row>
    <x:row r="11" ht="53" customHeight="1">
      <x:c r="A11" s="22" t="str">
        <x:v>SC-16</x:v>
      </x:c>
      <x:c r="B11" s="22" t="str">
        <x:v>FR-2.1.2</x:v>
      </x:c>
      <x:c r="C11" s="22" t="str">
        <x:v>BR-10</x:v>
      </x:c>
      <x:c r="D11" s="22" t="str">
        <x:v>UC-02</x:v>
      </x:c>
      <x:c r="E11" s="22" t="str">
        <x:v>NFR-3.1</x:v>
      </x:c>
      <x:c r="F11" s="22" t="str">
        <x:v>HZ-02</x:v>
      </x:c>
      <x:c r="G11" s="22" t="str">
        <x:v>TC-008</x:v>
      </x:c>
      <x:c r="H11" s="22" t="str">
        <x:v>Invalid contact information</x:v>
      </x:c>
      <x:c r="I11" s="22" t="str">
        <x:v>M-01 System Use Case Diagram</x:v>
      </x:c>
      <x:c r="J11" s="22" t="str">
        <x:v>Required synthetic test fixtures exist and the actor is set up for the scenario</x:v>
      </x:c>
      <x:c r="K11" s="22" t="str">
        <x:v>1. Prepare the fixture; 2. Perform the action; 3. Check the expected outcome</x:v>
      </x:c>
      <x:c r="L11" s="22" t="str">
        <x:v>register_patient(name=Sample Patient, phone=0912345678, date_of_birth=2001-06-10, password=SamplePass123); update_patient_profile(phone_number=bad) (expect error)</x:v>
      </x:c>
      <x:c r="M11" s="22" t="str">
        <x:v>model.patients.0912345678.phone: {"equals": "0912345678"}</x:v>
      </x:c>
      <x:c r="N11" s="22" t="str">
        <x:v>Profile is unchanged</x:v>
      </x:c>
      <x:c r="O11" s="22" t="str">
        <x:v>All input-driven actions and output assertions matched.</x:v>
      </x:c>
      <x:c r="P11" s="22" t="str">
        <x:v>PASS / PASS</x:v>
      </x:c>
      <x:c r="Q11" s="22" t="str">
        <x:v>09_Data_Driven_Testing/input/test_cases_input.json</x:v>
      </x:c>
      <x:c r="R11" s="22" t="str">
        <x:v>09_Data_Driven_Testing/input/test_cases_input.csv</x:v>
      </x:c>
      <x:c r="S11" s="22" t="str">
        <x:v>09_Data_Driven_Testing/results/json_all_comparison.csv; 09_Data_Driven_Testing/results/csv_all_comparison.csv</x:v>
      </x:c>
    </x:row>
    <x:row r="12" ht="53" customHeight="1">
      <x:c r="A12" s="22" t="str">
        <x:v>SC-01</x:v>
      </x:c>
      <x:c r="B12" s="22" t="str">
        <x:v>FR-3.1.1</x:v>
      </x:c>
      <x:c r="C12" s="22" t="str">
        <x:v>BR-02</x:v>
      </x:c>
      <x:c r="D12" s="22" t="str">
        <x:v>UC-03</x:v>
      </x:c>
      <x:c r="E12" s="22" t="str">
        <x:v>NFR-1.1; NFR-1.2; NFR-2.1; NFR-5.1</x:v>
      </x:c>
      <x:c r="F12" s="22" t="str">
        <x:v>HZ-01</x:v>
      </x:c>
      <x:c r="G12" s="22" t="str">
        <x:v>TC-009</x:v>
      </x:c>
      <x:c r="H12" s="22" t="str">
        <x:v>Search Gastroenterology</x:v>
      </x:c>
      <x:c r="I12" s="22" t="str">
        <x:v>M-02 Booking Activity</x:v>
      </x:c>
      <x:c r="J12" s="22" t="str">
        <x:v>Required synthetic test fixtures exist and the actor is set up for the scenario</x:v>
      </x:c>
      <x:c r="K12" s="22" t="str">
        <x:v>1. Prepare the fixture; 2. Perform the action; 3. Check the expected outcome</x:v>
      </x:c>
      <x:c r="L12" s="22" t="str">
        <x:v>find_doctors()</x:v>
      </x:c>
      <x:c r="M12" s="22" t="str">
        <x:v>saved.doctors: {"equals": ["Dr An"]}</x:v>
      </x:c>
      <x:c r="N12" s="22" t="str">
        <x:v>Only doctors in the selected specialty are returned</x:v>
      </x:c>
      <x:c r="O12" s="22" t="str">
        <x:v>All input-driven actions and output assertions matched.</x:v>
      </x:c>
      <x:c r="P12" s="22" t="str">
        <x:v>PASS / PASS</x:v>
      </x:c>
      <x:c r="Q12" s="22" t="str">
        <x:v>09_Data_Driven_Testing/input/test_cases_input.json</x:v>
      </x:c>
      <x:c r="R12" s="22" t="str">
        <x:v>09_Data_Driven_Testing/input/test_cases_input.csv</x:v>
      </x:c>
      <x:c r="S12" s="22" t="str">
        <x:v>09_Data_Driven_Testing/results/json_all_comparison.csv; 09_Data_Driven_Testing/results/csv_all_comparison.csv</x:v>
      </x:c>
    </x:row>
    <x:row r="13" ht="53" customHeight="1">
      <x:c r="A13" s="22" t="str">
        <x:v>SC-01</x:v>
      </x:c>
      <x:c r="B13" s="22" t="str">
        <x:v>FR-3.1.2</x:v>
      </x:c>
      <x:c r="C13" s="22" t="str">
        <x:v>BR-02</x:v>
      </x:c>
      <x:c r="D13" s="22" t="str">
        <x:v>UC-03</x:v>
      </x:c>
      <x:c r="E13" s="22" t="str">
        <x:v>NFR-1.1; NFR-1.2; NFR-2.1; NFR-5.1</x:v>
      </x:c>
      <x:c r="F13" s="22" t="str">
        <x:v>HZ-01</x:v>
      </x:c>
      <x:c r="G13" s="22" t="str">
        <x:v>TC-010</x:v>
      </x:c>
      <x:c r="H13" s="22" t="str">
        <x:v>Available slot has capacity</x:v>
      </x:c>
      <x:c r="I13" s="22" t="str">
        <x:v>M-02 Booking Activity</x:v>
      </x:c>
      <x:c r="J13" s="22" t="str">
        <x:v>Required synthetic test fixtures exist and the actor is set up for the scenario</x:v>
      </x:c>
      <x:c r="K13" s="22" t="str">
        <x:v>1. Prepare the fixture; 2. Perform the action; 3. Check the expected outcome</x:v>
      </x:c>
      <x:c r="L13" s="22" t="str">
        <x:v>visible_slots()</x:v>
      </x:c>
      <x:c r="M13" s="22" t="str">
        <x:v>saved.slots: {"length": 1}; saved.slots.0.capacity: {"equals": 1}; saved.slots.0.booked: {"equals": 0}</x:v>
      </x:c>
      <x:c r="N13" s="22" t="str">
        <x:v>Remaining capacity is displayed</x:v>
      </x:c>
      <x:c r="O13" s="22" t="str">
        <x:v>All input-driven actions and output assertions matched.</x:v>
      </x:c>
      <x:c r="P13" s="22" t="str">
        <x:v>PASS / PASS</x:v>
      </x:c>
      <x:c r="Q13" s="22" t="str">
        <x:v>09_Data_Driven_Testing/input/test_cases_input.json</x:v>
      </x:c>
      <x:c r="R13" s="22" t="str">
        <x:v>09_Data_Driven_Testing/input/test_cases_input.csv</x:v>
      </x:c>
      <x:c r="S13" s="22" t="str">
        <x:v>09_Data_Driven_Testing/results/json_all_comparison.csv; 09_Data_Driven_Testing/results/csv_all_comparison.csv</x:v>
      </x:c>
    </x:row>
    <x:row r="14" ht="53" customHeight="1">
      <x:c r="A14" s="22" t="str">
        <x:v>SC-03</x:v>
      </x:c>
      <x:c r="B14" s="22" t="str">
        <x:v>FR-3.1.2</x:v>
      </x:c>
      <x:c r="C14" s="22" t="str">
        <x:v>BR-02</x:v>
      </x:c>
      <x:c r="D14" s="22" t="str">
        <x:v>UC-03</x:v>
      </x:c>
      <x:c r="E14" s="22" t="str">
        <x:v>NFR-1.1; NFR-5.1</x:v>
      </x:c>
      <x:c r="F14" s="22" t="str">
        <x:v>HZ-01</x:v>
      </x:c>
      <x:c r="G14" s="22" t="str">
        <x:v>TC-011</x:v>
      </x:c>
      <x:c r="H14" s="22" t="str">
        <x:v>Fully booked slot</x:v>
      </x:c>
      <x:c r="I14" s="22" t="str">
        <x:v>M-02 Booking Activity</x:v>
      </x:c>
      <x:c r="J14" s="22" t="str">
        <x:v>Required synthetic test fixtures exist and the actor is set up for the scenario</x:v>
      </x:c>
      <x:c r="K14" s="22" t="str">
        <x:v>1. Prepare the fixture; 2. Perform the action; 3. Check the expected outcome</x:v>
      </x:c>
      <x:c r="L14" s="22" t="str">
        <x:v>book(); visible_slots()</x:v>
      </x:c>
      <x:c r="M14" s="22" t="str">
        <x:v>saved.slots: {"length": 0}</x:v>
      </x:c>
      <x:c r="N14" s="22" t="str">
        <x:v>Full slot is not shown as eligible</x:v>
      </x:c>
      <x:c r="O14" s="22" t="str">
        <x:v>All input-driven actions and output assertions matched.</x:v>
      </x:c>
      <x:c r="P14" s="22" t="str">
        <x:v>PASS / PASS</x:v>
      </x:c>
      <x:c r="Q14" s="22" t="str">
        <x:v>09_Data_Driven_Testing/input/test_cases_input.json</x:v>
      </x:c>
      <x:c r="R14" s="22" t="str">
        <x:v>09_Data_Driven_Testing/input/test_cases_input.csv</x:v>
      </x:c>
      <x:c r="S14" s="22" t="str">
        <x:v>09_Data_Driven_Testing/results/json_all_comparison.csv; 09_Data_Driven_Testing/results/csv_all_comparison.csv</x:v>
      </x:c>
    </x:row>
    <x:row r="15" ht="53" customHeight="1">
      <x:c r="A15" s="22" t="str">
        <x:v>SC-03</x:v>
      </x:c>
      <x:c r="B15" s="22" t="str">
        <x:v>FR-3.1.3</x:v>
      </x:c>
      <x:c r="C15" s="22" t="str">
        <x:v>BR-02</x:v>
      </x:c>
      <x:c r="D15" s="22" t="str">
        <x:v>UC-03</x:v>
      </x:c>
      <x:c r="E15" s="22" t="str">
        <x:v>NFR-1.1; NFR-5.1</x:v>
      </x:c>
      <x:c r="F15" s="22" t="str">
        <x:v>HZ-01</x:v>
      </x:c>
      <x:c r="G15" s="22" t="str">
        <x:v>TC-012</x:v>
      </x:c>
      <x:c r="H15" s="22" t="str">
        <x:v>Date with no appointments</x:v>
      </x:c>
      <x:c r="I15" s="22" t="str">
        <x:v>M-02 Booking Activity</x:v>
      </x:c>
      <x:c r="J15" s="22" t="str">
        <x:v>Required synthetic test fixtures exist and the actor is set up for the scenario</x:v>
      </x:c>
      <x:c r="K15" s="22" t="str">
        <x:v>1. Prepare the fixture; 2. Perform the action; 3. Check the expected outcome</x:v>
      </x:c>
      <x:c r="L15" s="22" t="str">
        <x:v>search_available_dates()</x:v>
      </x:c>
      <x:c r="M15" s="22" t="str">
        <x:v>saved.dates: {"contains": "2026-10-18"}; saved.dates: {"not_contains": "2026-10-23"}</x:v>
      </x:c>
      <x:c r="N15" s="22" t="str">
        <x:v>Alternative dates can be selected</x:v>
      </x:c>
      <x:c r="O15" s="22" t="str">
        <x:v>All input-driven actions and output assertions matched.</x:v>
      </x:c>
      <x:c r="P15" s="22" t="str">
        <x:v>PASS / PASS</x:v>
      </x:c>
      <x:c r="Q15" s="22" t="str">
        <x:v>09_Data_Driven_Testing/input/test_cases_input.json</x:v>
      </x:c>
      <x:c r="R15" s="22" t="str">
        <x:v>09_Data_Driven_Testing/input/test_cases_input.csv</x:v>
      </x:c>
      <x:c r="S15" s="22" t="str">
        <x:v>09_Data_Driven_Testing/results/json_all_comparison.csv; 09_Data_Driven_Testing/results/csv_all_comparison.csv</x:v>
      </x:c>
    </x:row>
    <x:row r="16" ht="53" customHeight="1">
      <x:c r="A16" s="22" t="str">
        <x:v>SC-01</x:v>
      </x:c>
      <x:c r="B16" s="22" t="str">
        <x:v>FR-4.1.1</x:v>
      </x:c>
      <x:c r="C16" s="22" t="str">
        <x:v>BR-03</x:v>
      </x:c>
      <x:c r="D16" s="22" t="str">
        <x:v>UC-04</x:v>
      </x:c>
      <x:c r="E16" s="22" t="str">
        <x:v>NFR-1.1; NFR-1.2; NFR-2.1; NFR-5.1</x:v>
      </x:c>
      <x:c r="F16" s="22" t="str">
        <x:v>HZ-01</x:v>
      </x:c>
      <x:c r="G16" s="22" t="str">
        <x:v>TC-013</x:v>
      </x:c>
      <x:c r="H16" s="22" t="str">
        <x:v>Book available slot</x:v>
      </x:c>
      <x:c r="I16" s="22" t="str">
        <x:v>M-02 Booking Activity</x:v>
      </x:c>
      <x:c r="J16" s="22" t="str">
        <x:v>Required synthetic test fixtures exist and the actor is set up for the scenario</x:v>
      </x:c>
      <x:c r="K16" s="22" t="str">
        <x:v>1. Prepare the fixture; 2. Perform the action; 3. Check the expected outcome</x:v>
      </x:c>
      <x:c r="L16" s="22" t="str">
        <x:v>book()</x:v>
      </x:c>
      <x:c r="M16" s="22" t="str">
        <x:v>saved.a.status: {"equals": "Confirmed"}; saved.a.id: {"starts_with": "HOAS-"}</x:v>
      </x:c>
      <x:c r="N16" s="22" t="str">
        <x:v>One Confirmed booking with a unique code is created</x:v>
      </x:c>
      <x:c r="O16" s="22" t="str">
        <x:v>All input-driven actions and output assertions matched.</x:v>
      </x:c>
      <x:c r="P16" s="22" t="str">
        <x:v>PASS / PASS</x:v>
      </x:c>
      <x:c r="Q16" s="22" t="str">
        <x:v>09_Data_Driven_Testing/input/test_cases_input.json</x:v>
      </x:c>
      <x:c r="R16" s="22" t="str">
        <x:v>09_Data_Driven_Testing/input/test_cases_input.csv</x:v>
      </x:c>
      <x:c r="S16" s="22" t="str">
        <x:v>09_Data_Driven_Testing/results/json_all_comparison.csv; 09_Data_Driven_Testing/results/csv_all_comparison.csv</x:v>
      </x:c>
    </x:row>
    <x:row r="17" ht="53" customHeight="1">
      <x:c r="A17" s="22" t="str">
        <x:v>SC-01</x:v>
      </x:c>
      <x:c r="B17" s="22" t="str">
        <x:v>FR-4.1.1</x:v>
      </x:c>
      <x:c r="C17" s="22" t="str">
        <x:v>BR-03</x:v>
      </x:c>
      <x:c r="D17" s="22" t="str">
        <x:v>UC-04</x:v>
      </x:c>
      <x:c r="E17" s="22" t="str">
        <x:v>NFR-1.1; NFR-1.2; NFR-2.1; NFR-5.1</x:v>
      </x:c>
      <x:c r="F17" s="22" t="str">
        <x:v>HZ-01</x:v>
      </x:c>
      <x:c r="G17" s="22" t="str">
        <x:v>TC-014</x:v>
      </x:c>
      <x:c r="H17" s="22" t="str">
        <x:v>Repeated appointment ID</x:v>
      </x:c>
      <x:c r="I17" s="22" t="str">
        <x:v>M-02 Booking Activity</x:v>
      </x:c>
      <x:c r="J17" s="22" t="str">
        <x:v>Required synthetic test fixtures exist and the actor is set up for the scenario</x:v>
      </x:c>
      <x:c r="K17" s="22" t="str">
        <x:v>1. Prepare the fixture; 2. Perform the action; 3. Check the expected outcome</x:v>
      </x:c>
      <x:c r="L17" s="22" t="str">
        <x:v>book(); book()</x:v>
      </x:c>
      <x:c r="M17" s="22" t="str">
        <x:v>saved.a.id: {"different_path": "saved.b.id"}</x:v>
      </x:c>
      <x:c r="N17" s="22" t="str">
        <x:v>Appointment IDs do not repeat</x:v>
      </x:c>
      <x:c r="O17" s="22" t="str">
        <x:v>All input-driven actions and output assertions matched.</x:v>
      </x:c>
      <x:c r="P17" s="22" t="str">
        <x:v>PASS / PASS</x:v>
      </x:c>
      <x:c r="Q17" s="22" t="str">
        <x:v>09_Data_Driven_Testing/input/test_cases_input.json</x:v>
      </x:c>
      <x:c r="R17" s="22" t="str">
        <x:v>09_Data_Driven_Testing/input/test_cases_input.csv</x:v>
      </x:c>
      <x:c r="S17" s="22" t="str">
        <x:v>09_Data_Driven_Testing/results/json_all_comparison.csv; 09_Data_Driven_Testing/results/csv_all_comparison.csv</x:v>
      </x:c>
    </x:row>
    <x:row r="18" ht="53" customHeight="1">
      <x:c r="A18" s="22" t="str">
        <x:v>SC-02</x:v>
      </x:c>
      <x:c r="B18" s="22" t="str">
        <x:v>FR-4.1.2</x:v>
      </x:c>
      <x:c r="C18" s="22" t="str">
        <x:v>BR-02</x:v>
      </x:c>
      <x:c r="D18" s="22" t="str">
        <x:v>UC-04</x:v>
      </x:c>
      <x:c r="E18" s="22" t="str">
        <x:v>NFR-2.1</x:v>
      </x:c>
      <x:c r="F18" s="22" t="str">
        <x:v>HZ-01</x:v>
      </x:c>
      <x:c r="G18" s="22" t="str">
        <x:v>TC-015</x:v>
      </x:c>
      <x:c r="H18" s="22" t="str">
        <x:v>Two patients competing for one place</x:v>
      </x:c>
      <x:c r="I18" s="22" t="str">
        <x:v>M-02 Booking Activity</x:v>
      </x:c>
      <x:c r="J18" s="22" t="str">
        <x:v>Required synthetic test fixtures exist and the actor is set up for the scenario</x:v>
      </x:c>
      <x:c r="K18" s="22" t="str">
        <x:v>1. Prepare the fixture; 2. Perform the action; 3. Check the expected outcome</x:v>
      </x:c>
      <x:c r="L18" s="22" t="str">
        <x:v>book(); book() (expect error)</x:v>
      </x:c>
      <x:c r="M18" s="22" t="str">
        <x:v>model.slots.S1.booked: {"equals": 1}</x:v>
      </x:c>
      <x:c r="N18" s="22" t="str">
        <x:v>Exactly one request succeeds</x:v>
      </x:c>
      <x:c r="O18" s="22" t="str">
        <x:v>All input-driven actions and output assertions matched.</x:v>
      </x:c>
      <x:c r="P18" s="22" t="str">
        <x:v>PASS / PASS</x:v>
      </x:c>
      <x:c r="Q18" s="22" t="str">
        <x:v>09_Data_Driven_Testing/input/test_cases_input.json</x:v>
      </x:c>
      <x:c r="R18" s="22" t="str">
        <x:v>09_Data_Driven_Testing/input/test_cases_input.csv</x:v>
      </x:c>
      <x:c r="S18" s="22" t="str">
        <x:v>09_Data_Driven_Testing/results/json_all_comparison.csv; 09_Data_Driven_Testing/results/csv_all_comparison.csv</x:v>
      </x:c>
    </x:row>
    <x:row r="19" ht="53" customHeight="1">
      <x:c r="A19" s="22" t="str">
        <x:v>SC-02</x:v>
      </x:c>
      <x:c r="B19" s="22" t="str">
        <x:v>FR-4.1.2</x:v>
      </x:c>
      <x:c r="C19" s="22" t="str">
        <x:v>BR-02</x:v>
      </x:c>
      <x:c r="D19" s="22" t="str">
        <x:v>UC-04</x:v>
      </x:c>
      <x:c r="E19" s="22" t="str">
        <x:v>NFR-2.1</x:v>
      </x:c>
      <x:c r="F19" s="22" t="str">
        <x:v>HZ-01</x:v>
      </x:c>
      <x:c r="G19" s="22" t="str">
        <x:v>TC-016</x:v>
      </x:c>
      <x:c r="H19" s="22" t="str">
        <x:v>One hundred threads competing for one place</x:v>
      </x:c>
      <x:c r="I19" s="22" t="str">
        <x:v>M-02 Booking Activity</x:v>
      </x:c>
      <x:c r="J19" s="22" t="str">
        <x:v>Required synthetic test fixtures exist and the actor is set up for the scenario</x:v>
      </x:c>
      <x:c r="K19" s="22" t="str">
        <x:v>1. Prepare the fixture; 2. Perform the action; 3. Check the expected outcome</x:v>
      </x:c>
      <x:c r="L19" s="22" t="str">
        <x:v>parallel_book()</x:v>
      </x:c>
      <x:c r="M19" s="22" t="str">
        <x:v>saved.parallel.successes: {"equals": 1}; model.slots.S1.booked: {"equals": 1}</x:v>
      </x:c>
      <x:c r="N19" s="22" t="str">
        <x:v>Capacity is never exceeded</x:v>
      </x:c>
      <x:c r="O19" s="22" t="str">
        <x:v>All input-driven actions and output assertions matched.</x:v>
      </x:c>
      <x:c r="P19" s="22" t="str">
        <x:v>PASS / PASS</x:v>
      </x:c>
      <x:c r="Q19" s="22" t="str">
        <x:v>09_Data_Driven_Testing/input/test_cases_input.json</x:v>
      </x:c>
      <x:c r="R19" s="22" t="str">
        <x:v>09_Data_Driven_Testing/input/test_cases_input.csv</x:v>
      </x:c>
      <x:c r="S19" s="22" t="str">
        <x:v>09_Data_Driven_Testing/results/json_all_comparison.csv; 09_Data_Driven_Testing/results/csv_all_comparison.csv</x:v>
      </x:c>
    </x:row>
    <x:row r="20" ht="53" customHeight="1">
      <x:c r="A20" s="22" t="str">
        <x:v>SC-09</x:v>
      </x:c>
      <x:c r="B20" s="22" t="str">
        <x:v>FR-4.1.3</x:v>
      </x:c>
      <x:c r="C20" s="22" t="str">
        <x:v>BR-02</x:v>
      </x:c>
      <x:c r="D20" s="22" t="str">
        <x:v>UC-04</x:v>
      </x:c>
      <x:c r="E20" s="22" t="str">
        <x:v>NFR-2.1; NFR-6.1</x:v>
      </x:c>
      <x:c r="F20" s="22" t="str">
        <x:v>HZ-04</x:v>
      </x:c>
      <x:c r="G20" s="22" t="str">
        <x:v>TC-017</x:v>
      </x:c>
      <x:c r="H20" s="22" t="str">
        <x:v>Doctor becomes unavailable</x:v>
      </x:c>
      <x:c r="I20" s="22" t="str">
        <x:v>M-05 Appointment State Machine</x:v>
      </x:c>
      <x:c r="J20" s="22" t="str">
        <x:v>Required synthetic test fixtures exist and the actor is set up for the scenario</x:v>
      </x:c>
      <x:c r="K20" s="22" t="str">
        <x:v>1. Prepare the fixture; 2. Perform the action; 3. Check the expected outcome</x:v>
      </x:c>
      <x:c r="L20" s="22" t="str">
        <x:v>suspend_slot(); book() (expect error)</x:v>
      </x:c>
      <x:c r="M20" s="22" t="str">
        <x:v>model.slots.S1.suspended: {"equals": true}</x:v>
      </x:c>
      <x:c r="N20" s="22" t="str">
        <x:v>Booking is rejected</x:v>
      </x:c>
      <x:c r="O20" s="22" t="str">
        <x:v>All input-driven actions and output assertions matched.</x:v>
      </x:c>
      <x:c r="P20" s="22" t="str">
        <x:v>PASS / PASS</x:v>
      </x:c>
      <x:c r="Q20" s="22" t="str">
        <x:v>09_Data_Driven_Testing/input/test_cases_input.json</x:v>
      </x:c>
      <x:c r="R20" s="22" t="str">
        <x:v>09_Data_Driven_Testing/input/test_cases_input.csv</x:v>
      </x:c>
      <x:c r="S20" s="22" t="str">
        <x:v>09_Data_Driven_Testing/results/json_all_comparison.csv; 09_Data_Driven_Testing/results/csv_all_comparison.csv</x:v>
      </x:c>
    </x:row>
    <x:row r="21" ht="53" customHeight="1">
      <x:c r="A21" s="22" t="str">
        <x:v>SC-03</x:v>
      </x:c>
      <x:c r="B21" s="22" t="str">
        <x:v>FR-4.1.3</x:v>
      </x:c>
      <x:c r="C21" s="22" t="str">
        <x:v>BR-02</x:v>
      </x:c>
      <x:c r="D21" s="22" t="str">
        <x:v>UC-04</x:v>
      </x:c>
      <x:c r="E21" s="22" t="str">
        <x:v>NFR-1.1; NFR-5.1</x:v>
      </x:c>
      <x:c r="F21" s="22" t="str">
        <x:v>HZ-01</x:v>
      </x:c>
      <x:c r="G21" s="22" t="str">
        <x:v>TC-018</x:v>
      </x:c>
      <x:c r="H21" s="22" t="str">
        <x:v>Already full slot</x:v>
      </x:c>
      <x:c r="I21" s="22" t="str">
        <x:v>M-02 Booking Activity</x:v>
      </x:c>
      <x:c r="J21" s="22" t="str">
        <x:v>Required synthetic test fixtures exist and the actor is set up for the scenario</x:v>
      </x:c>
      <x:c r="K21" s="22" t="str">
        <x:v>1. Prepare the fixture; 2. Perform the action; 3. Check the expected outcome</x:v>
      </x:c>
      <x:c r="L21" s="22" t="str">
        <x:v>book(); book() (expect error)</x:v>
      </x:c>
      <x:c r="M21" s="22" t="str">
        <x:v>model.slots.S1.booked: {"equals": 1}</x:v>
      </x:c>
      <x:c r="N21" s="22" t="str">
        <x:v>No additional capacity is consumed</x:v>
      </x:c>
      <x:c r="O21" s="22" t="str">
        <x:v>All input-driven actions and output assertions matched.</x:v>
      </x:c>
      <x:c r="P21" s="22" t="str">
        <x:v>PASS / PASS</x:v>
      </x:c>
      <x:c r="Q21" s="22" t="str">
        <x:v>09_Data_Driven_Testing/input/test_cases_input.json</x:v>
      </x:c>
      <x:c r="R21" s="22" t="str">
        <x:v>09_Data_Driven_Testing/input/test_cases_input.csv</x:v>
      </x:c>
      <x:c r="S21" s="22" t="str">
        <x:v>09_Data_Driven_Testing/results/json_all_comparison.csv; 09_Data_Driven_Testing/results/csv_all_comparison.csv</x:v>
      </x:c>
    </x:row>
    <x:row r="22" ht="53" customHeight="1">
      <x:c r="A22" s="22" t="str">
        <x:v>SC-17</x:v>
      </x:c>
      <x:c r="B22" s="22" t="str">
        <x:v>FR-5.1.1</x:v>
      </x:c>
      <x:c r="C22" s="22" t="str">
        <x:v>BR-10</x:v>
      </x:c>
      <x:c r="D22" s="22" t="str">
        <x:v>UC-05</x:v>
      </x:c>
      <x:c r="E22" s="22" t="str">
        <x:v>NFR-3.1</x:v>
      </x:c>
      <x:c r="F22" s="22" t="str">
        <x:v>HZ-02</x:v>
      </x:c>
      <x:c r="G22" s="22" t="str">
        <x:v>TC-019</x:v>
      </x:c>
      <x:c r="H22" s="22" t="str">
        <x:v>List own appointments</x:v>
      </x:c>
      <x:c r="I22" s="22" t="str">
        <x:v>M-01 System Use Case Diagram</x:v>
      </x:c>
      <x:c r="J22" s="22" t="str">
        <x:v>Required synthetic test fixtures exist and the actor is set up for the scenario</x:v>
      </x:c>
      <x:c r="K22" s="22" t="str">
        <x:v>1. Prepare the fixture; 2. Perform the action; 3. Check the expected outcome</x:v>
      </x:c>
      <x:c r="L22" s="22" t="str">
        <x:v>book(); owned(); owned()</x:v>
      </x:c>
      <x:c r="M22" s="22" t="str">
        <x:v>saved.other: {"length": 0}; saved.mine: {"length": 1}</x:v>
      </x:c>
      <x:c r="N22" s="22" t="str">
        <x:v>Only the authenticated patient’s appointments appear</x:v>
      </x:c>
      <x:c r="O22" s="22" t="str">
        <x:v>All input-driven actions and output assertions matched.</x:v>
      </x:c>
      <x:c r="P22" s="22" t="str">
        <x:v>PASS / PASS</x:v>
      </x:c>
      <x:c r="Q22" s="22" t="str">
        <x:v>09_Data_Driven_Testing/input/test_cases_input.json</x:v>
      </x:c>
      <x:c r="R22" s="22" t="str">
        <x:v>09_Data_Driven_Testing/input/test_cases_input.csv</x:v>
      </x:c>
      <x:c r="S22" s="22" t="str">
        <x:v>09_Data_Driven_Testing/results/json_all_comparison.csv; 09_Data_Driven_Testing/results/csv_all_comparison.csv</x:v>
      </x:c>
    </x:row>
    <x:row r="23" ht="53" customHeight="1">
      <x:c r="A23" s="22" t="str">
        <x:v>SC-13</x:v>
      </x:c>
      <x:c r="B23" s="22" t="str">
        <x:v>FR-5.1.1</x:v>
      </x:c>
      <x:c r="C23" s="22" t="str">
        <x:v>BR-10</x:v>
      </x:c>
      <x:c r="D23" s="22" t="str">
        <x:v>UC-05</x:v>
      </x:c>
      <x:c r="E23" s="22" t="str">
        <x:v>NFR-3.1; NFR-3.2</x:v>
      </x:c>
      <x:c r="F23" s="22" t="str">
        <x:v>HZ-02</x:v>
      </x:c>
      <x:c r="G23" s="22" t="str">
        <x:v>TC-020</x:v>
      </x:c>
      <x:c r="H23" s="22" t="str">
        <x:v>Read another patient’s appointment</x:v>
      </x:c>
      <x:c r="I23" s="22" t="str">
        <x:v>M-06 DFD Context</x:v>
      </x:c>
      <x:c r="J23" s="22" t="str">
        <x:v>Required synthetic test fixtures exist and the actor is set up for the scenario</x:v>
      </x:c>
      <x:c r="K23" s="22" t="str">
        <x:v>1. Prepare the fixture; 2. Perform the action; 3. Check the expected outcome</x:v>
      </x:c>
      <x:c r="L23" s="22" t="str">
        <x:v>book(); appointment_detail() (expect error)</x:v>
      </x:c>
      <x:c r="M23" s="22" t="str">
        <x:v>saved.a.patient: {"equals": "patient1"}</x:v>
      </x:c>
      <x:c r="N23" s="22" t="str">
        <x:v>Access is denied</x:v>
      </x:c>
      <x:c r="O23" s="22" t="str">
        <x:v>All input-driven actions and output assertions matched.</x:v>
      </x:c>
      <x:c r="P23" s="22" t="str">
        <x:v>PASS / PASS</x:v>
      </x:c>
      <x:c r="Q23" s="22" t="str">
        <x:v>09_Data_Driven_Testing/input/test_cases_input.json</x:v>
      </x:c>
      <x:c r="R23" s="22" t="str">
        <x:v>09_Data_Driven_Testing/input/test_cases_input.csv</x:v>
      </x:c>
      <x:c r="S23" s="22" t="str">
        <x:v>09_Data_Driven_Testing/results/json_all_comparison.csv; 09_Data_Driven_Testing/results/csv_all_comparison.csv</x:v>
      </x:c>
    </x:row>
    <x:row r="24" ht="53" customHeight="1">
      <x:c r="A24" s="22" t="str">
        <x:v>SC-17</x:v>
      </x:c>
      <x:c r="B24" s="22" t="str">
        <x:v>FR-5.1.2</x:v>
      </x:c>
      <x:c r="C24" s="22" t="str">
        <x:v>BR-10</x:v>
      </x:c>
      <x:c r="D24" s="22" t="str">
        <x:v>UC-05</x:v>
      </x:c>
      <x:c r="E24" s="22" t="str">
        <x:v>NFR-3.1</x:v>
      </x:c>
      <x:c r="F24" s="22" t="str">
        <x:v>HZ-02</x:v>
      </x:c>
      <x:c r="G24" s="22" t="str">
        <x:v>TC-021</x:v>
      </x:c>
      <x:c r="H24" s="22" t="str">
        <x:v>View booking details</x:v>
      </x:c>
      <x:c r="I24" s="22" t="str">
        <x:v>M-01 System Use Case Diagram</x:v>
      </x:c>
      <x:c r="J24" s="22" t="str">
        <x:v>Required synthetic test fixtures exist and the actor is set up for the scenario</x:v>
      </x:c>
      <x:c r="K24" s="22" t="str">
        <x:v>1. Prepare the fixture; 2. Perform the action; 3. Check the expected outcome</x:v>
      </x:c>
      <x:c r="L24" s="22" t="str">
        <x:v>book(); appointment_summary()</x:v>
      </x:c>
      <x:c r="M24" s="22" t="str">
        <x:v>saved.detail.doctor: {"equals": "Dr An"}; saved.detail.status: {"equals": "Confirmed"}; saved.detail: {"has_keys": ["code", "doctor", "specialty", "start", "status"]}</x:v>
      </x:c>
      <x:c r="N24" s="22" t="str">
        <x:v>Code, specialty, doctor, time and status are displayed</x:v>
      </x:c>
      <x:c r="O24" s="22" t="str">
        <x:v>All input-driven actions and output assertions matched.</x:v>
      </x:c>
      <x:c r="P24" s="22" t="str">
        <x:v>PASS / PASS</x:v>
      </x:c>
      <x:c r="Q24" s="22" t="str">
        <x:v>09_Data_Driven_Testing/input/test_cases_input.json</x:v>
      </x:c>
      <x:c r="R24" s="22" t="str">
        <x:v>09_Data_Driven_Testing/input/test_cases_input.csv</x:v>
      </x:c>
      <x:c r="S24" s="22" t="str">
        <x:v>09_Data_Driven_Testing/results/json_all_comparison.csv; 09_Data_Driven_Testing/results/csv_all_comparison.csv</x:v>
      </x:c>
    </x:row>
    <x:row r="25" ht="53" customHeight="1">
      <x:c r="A25" s="22" t="str">
        <x:v>SC-04</x:v>
      </x:c>
      <x:c r="B25" s="22" t="str">
        <x:v>FR-6.1.1</x:v>
      </x:c>
      <x:c r="C25" s="22" t="str">
        <x:v>BR-04</x:v>
      </x:c>
      <x:c r="D25" s="22" t="str">
        <x:v>UC-06</x:v>
      </x:c>
      <x:c r="E25" s="22" t="str">
        <x:v>NFR-6.1</x:v>
      </x:c>
      <x:c r="F25" s="22" t="str">
        <x:v>—</x:v>
      </x:c>
      <x:c r="G25" s="22" t="str">
        <x:v>TC-022</x:v>
      </x:c>
      <x:c r="H25" s="22" t="str">
        <x:v>Cancel more than 24 hours early</x:v>
      </x:c>
      <x:c r="I25" s="22" t="str">
        <x:v>M-05 Appointment State Machine</x:v>
      </x:c>
      <x:c r="J25" s="22" t="str">
        <x:v>Required synthetic test fixtures exist and the actor is set up for the scenario</x:v>
      </x:c>
      <x:c r="K25" s="22" t="str">
        <x:v>1. Prepare the fixture; 2. Perform the action; 3. Check the expected outcome</x:v>
      </x:c>
      <x:c r="L25" s="22" t="str">
        <x:v>book(); cancel()</x:v>
      </x:c>
      <x:c r="M25" s="22" t="str">
        <x:v>saved.a.status: {"equals": "Cancelled"}; model.slots.S1.booked: {"equals": 0}</x:v>
      </x:c>
      <x:c r="N25" s="22" t="str">
        <x:v>Status becomes Cancelled; capacity is restored</x:v>
      </x:c>
      <x:c r="O25" s="22" t="str">
        <x:v>All input-driven actions and output assertions matched.</x:v>
      </x:c>
      <x:c r="P25" s="22" t="str">
        <x:v>PASS / PASS</x:v>
      </x:c>
      <x:c r="Q25" s="22" t="str">
        <x:v>09_Data_Driven_Testing/input/test_cases_input.json</x:v>
      </x:c>
      <x:c r="R25" s="22" t="str">
        <x:v>09_Data_Driven_Testing/input/test_cases_input.csv</x:v>
      </x:c>
      <x:c r="S25" s="22" t="str">
        <x:v>09_Data_Driven_Testing/results/json_all_comparison.csv; 09_Data_Driven_Testing/results/csv_all_comparison.csv</x:v>
      </x:c>
    </x:row>
    <x:row r="26" ht="53" customHeight="1">
      <x:c r="A26" s="22" t="str">
        <x:v>SC-04</x:v>
      </x:c>
      <x:c r="B26" s="22" t="str">
        <x:v>FR-6.1.1</x:v>
      </x:c>
      <x:c r="C26" s="22" t="str">
        <x:v>BR-04</x:v>
      </x:c>
      <x:c r="D26" s="22" t="str">
        <x:v>UC-06</x:v>
      </x:c>
      <x:c r="E26" s="22" t="str">
        <x:v>NFR-6.1</x:v>
      </x:c>
      <x:c r="F26" s="22" t="str">
        <x:v>—</x:v>
      </x:c>
      <x:c r="G26" s="22" t="str">
        <x:v>TC-023</x:v>
      </x:c>
      <x:c r="H26" s="22" t="str">
        <x:v>Cancel exactly 12 hours early</x:v>
      </x:c>
      <x:c r="I26" s="22" t="str">
        <x:v>M-05 Appointment State Machine</x:v>
      </x:c>
      <x:c r="J26" s="22" t="str">
        <x:v>Required synthetic test fixtures exist and the actor is set up for the scenario</x:v>
      </x:c>
      <x:c r="K26" s="22" t="str">
        <x:v>1. Prepare the fixture; 2. Perform the action; 3. Check the expected outcome</x:v>
      </x:c>
      <x:c r="L26" s="22" t="str">
        <x:v>add_slot(); book(); cancel()</x:v>
      </x:c>
      <x:c r="M26" s="22" t="str">
        <x:v>saved.a.status: {"equals": "Cancelled"}</x:v>
      </x:c>
      <x:c r="N26" s="22" t="str">
        <x:v>Cancellation is permitted at the 12-hour boundary</x:v>
      </x:c>
      <x:c r="O26" s="22" t="str">
        <x:v>All input-driven actions and output assertions matched.</x:v>
      </x:c>
      <x:c r="P26" s="22" t="str">
        <x:v>PASS / PASS</x:v>
      </x:c>
      <x:c r="Q26" s="22" t="str">
        <x:v>09_Data_Driven_Testing/input/test_cases_input.json</x:v>
      </x:c>
      <x:c r="R26" s="22" t="str">
        <x:v>09_Data_Driven_Testing/input/test_cases_input.csv</x:v>
      </x:c>
      <x:c r="S26" s="22" t="str">
        <x:v>09_Data_Driven_Testing/results/json_all_comparison.csv; 09_Data_Driven_Testing/results/csv_all_comparison.csv</x:v>
      </x:c>
    </x:row>
    <x:row r="27" ht="53" customHeight="1">
      <x:c r="A27" s="22" t="str">
        <x:v>SC-05</x:v>
      </x:c>
      <x:c r="B27" s="22" t="str">
        <x:v>FR-6.1.2</x:v>
      </x:c>
      <x:c r="C27" s="22" t="str">
        <x:v>BR-04</x:v>
      </x:c>
      <x:c r="D27" s="22" t="str">
        <x:v>UC-06</x:v>
      </x:c>
      <x:c r="E27" s="22" t="str">
        <x:v>NFR-3.1</x:v>
      </x:c>
      <x:c r="F27" s="22" t="str">
        <x:v>—</x:v>
      </x:c>
      <x:c r="G27" s="22" t="str">
        <x:v>TC-024</x:v>
      </x:c>
      <x:c r="H27" s="22" t="str">
        <x:v>Cancel only 3 hours early</x:v>
      </x:c>
      <x:c r="I27" s="22" t="str">
        <x:v>M-05 Appointment State Machine</x:v>
      </x:c>
      <x:c r="J27" s="22" t="str">
        <x:v>Required synthetic test fixtures exist and the actor is set up for the scenario</x:v>
      </x:c>
      <x:c r="K27" s="22" t="str">
        <x:v>1. Prepare the fixture; 2. Perform the action; 3. Check the expected outcome</x:v>
      </x:c>
      <x:c r="L27" s="22" t="str">
        <x:v>add_slot(); book(); cancel() (expect error)</x:v>
      </x:c>
      <x:c r="M27" s="22" t="str">
        <x:v>saved.a.status: {"equals": "Confirmed"}; model.slots.S3.booked: {"equals": 1}</x:v>
      </x:c>
      <x:c r="N27" s="22" t="str">
        <x:v>Cancellation is rejected and capacity unchanged</x:v>
      </x:c>
      <x:c r="O27" s="22" t="str">
        <x:v>All input-driven actions and output assertions matched.</x:v>
      </x:c>
      <x:c r="P27" s="22" t="str">
        <x:v>PASS / PASS</x:v>
      </x:c>
      <x:c r="Q27" s="22" t="str">
        <x:v>09_Data_Driven_Testing/input/test_cases_input.json</x:v>
      </x:c>
      <x:c r="R27" s="22" t="str">
        <x:v>09_Data_Driven_Testing/input/test_cases_input.csv</x:v>
      </x:c>
      <x:c r="S27" s="22" t="str">
        <x:v>09_Data_Driven_Testing/results/json_all_comparison.csv; 09_Data_Driven_Testing/results/csv_all_comparison.csv</x:v>
      </x:c>
    </x:row>
    <x:row r="28" ht="53" customHeight="1">
      <x:c r="A28" s="22" t="str">
        <x:v>SC-13</x:v>
      </x:c>
      <x:c r="B28" s="22" t="str">
        <x:v>FR-6.1.2</x:v>
      </x:c>
      <x:c r="C28" s="22" t="str">
        <x:v>BR-04</x:v>
      </x:c>
      <x:c r="D28" s="22" t="str">
        <x:v>UC-06</x:v>
      </x:c>
      <x:c r="E28" s="22" t="str">
        <x:v>NFR-3.1; NFR-3.2</x:v>
      </x:c>
      <x:c r="F28" s="22" t="str">
        <x:v>HZ-02</x:v>
      </x:c>
      <x:c r="G28" s="22" t="str">
        <x:v>TC-025</x:v>
      </x:c>
      <x:c r="H28" s="22" t="str">
        <x:v>Unauthorized cancellation by another patient</x:v>
      </x:c>
      <x:c r="I28" s="22" t="str">
        <x:v>M-06 DFD Context</x:v>
      </x:c>
      <x:c r="J28" s="22" t="str">
        <x:v>Required synthetic test fixtures exist and the actor is set up for the scenario</x:v>
      </x:c>
      <x:c r="K28" s="22" t="str">
        <x:v>1. Prepare the fixture; 2. Perform the action; 3. Check the expected outcome</x:v>
      </x:c>
      <x:c r="L28" s="22" t="str">
        <x:v>book(); cancel() (expect error)</x:v>
      </x:c>
      <x:c r="M28" s="22" t="str">
        <x:v>saved.a.status: {"equals": "Confirmed"}</x:v>
      </x:c>
      <x:c r="N28" s="22" t="str">
        <x:v>Unauthorized action is denied</x:v>
      </x:c>
      <x:c r="O28" s="22" t="str">
        <x:v>All input-driven actions and output assertions matched.</x:v>
      </x:c>
      <x:c r="P28" s="22" t="str">
        <x:v>PASS / PASS</x:v>
      </x:c>
      <x:c r="Q28" s="22" t="str">
        <x:v>09_Data_Driven_Testing/input/test_cases_input.json</x:v>
      </x:c>
      <x:c r="R28" s="22" t="str">
        <x:v>09_Data_Driven_Testing/input/test_cases_input.csv</x:v>
      </x:c>
      <x:c r="S28" s="22" t="str">
        <x:v>09_Data_Driven_Testing/results/json_all_comparison.csv; 09_Data_Driven_Testing/results/csv_all_comparison.csv</x:v>
      </x:c>
    </x:row>
    <x:row r="29" ht="53" customHeight="1">
      <x:c r="A29" s="22" t="str">
        <x:v>SC-04</x:v>
      </x:c>
      <x:c r="B29" s="22" t="str">
        <x:v>FR-6.1.1</x:v>
      </x:c>
      <x:c r="C29" s="22" t="str">
        <x:v>BR-04</x:v>
      </x:c>
      <x:c r="D29" s="22" t="str">
        <x:v>UC-06</x:v>
      </x:c>
      <x:c r="E29" s="22" t="str">
        <x:v>NFR-6.1</x:v>
      </x:c>
      <x:c r="F29" s="22" t="str">
        <x:v>—</x:v>
      </x:c>
      <x:c r="G29" s="22" t="str">
        <x:v>TC-026</x:v>
      </x:c>
      <x:c r="H29" s="22" t="str">
        <x:v>Repeat cancellation</x:v>
      </x:c>
      <x:c r="I29" s="22" t="str">
        <x:v>M-05 Appointment State Machine</x:v>
      </x:c>
      <x:c r="J29" s="22" t="str">
        <x:v>Required synthetic test fixtures exist and the actor is set up for the scenario</x:v>
      </x:c>
      <x:c r="K29" s="22" t="str">
        <x:v>1. Prepare the fixture; 2. Perform the action; 3. Check the expected outcome</x:v>
      </x:c>
      <x:c r="L29" s="22" t="str">
        <x:v>book(); cancel(); cancel() (expect error)</x:v>
      </x:c>
      <x:c r="M29" s="22" t="str">
        <x:v>model.slots.S1.booked: {"equals": 0}</x:v>
      </x:c>
      <x:c r="N29" s="22" t="str">
        <x:v>No capacity is released twice</x:v>
      </x:c>
      <x:c r="O29" s="22" t="str">
        <x:v>All input-driven actions and output assertions matched.</x:v>
      </x:c>
      <x:c r="P29" s="22" t="str">
        <x:v>PASS / PASS</x:v>
      </x:c>
      <x:c r="Q29" s="22" t="str">
        <x:v>09_Data_Driven_Testing/input/test_cases_input.json</x:v>
      </x:c>
      <x:c r="R29" s="22" t="str">
        <x:v>09_Data_Driven_Testing/input/test_cases_input.csv</x:v>
      </x:c>
      <x:c r="S29" s="22" t="str">
        <x:v>09_Data_Driven_Testing/results/json_all_comparison.csv; 09_Data_Driven_Testing/results/csv_all_comparison.csv</x:v>
      </x:c>
    </x:row>
    <x:row r="30" ht="53" customHeight="1">
      <x:c r="A30" s="22" t="str">
        <x:v>SC-06</x:v>
      </x:c>
      <x:c r="B30" s="22" t="str">
        <x:v>FR-7.1.1</x:v>
      </x:c>
      <x:c r="C30" s="22" t="str">
        <x:v>BR-05</x:v>
      </x:c>
      <x:c r="D30" s="22" t="str">
        <x:v>UC-07</x:v>
      </x:c>
      <x:c r="E30" s="22" t="str">
        <x:v>NFR-2.2; NFR-6.1</x:v>
      </x:c>
      <x:c r="F30" s="22" t="str">
        <x:v>HZ-05</x:v>
      </x:c>
      <x:c r="G30" s="22" t="str">
        <x:v>TC-027</x:v>
      </x:c>
      <x:c r="H30" s="22" t="str">
        <x:v>Reschedule with at least 12 hours left</x:v>
      </x:c>
      <x:c r="I30" s="22" t="str">
        <x:v>M-03 Reschedule Activity</x:v>
      </x:c>
      <x:c r="J30" s="22" t="str">
        <x:v>Required synthetic test fixtures exist and the actor is set up for the scenario</x:v>
      </x:c>
      <x:c r="K30" s="22" t="str">
        <x:v>1. Prepare the fixture; 2. Perform the action; 3. Check the expected outcome</x:v>
      </x:c>
      <x:c r="L30" s="22" t="str">
        <x:v>book(); reschedule()</x:v>
      </x:c>
      <x:c r="M30" s="22" t="str">
        <x:v>saved.a.slot_id: {"equals": "S2"}; model.slots.S1.booked: {"equals": 0}; model.slots.S2.booked: {"equals": 1}</x:v>
      </x:c>
      <x:c r="N30" s="22" t="str">
        <x:v>Old slot is released and new slot reserved</x:v>
      </x:c>
      <x:c r="O30" s="22" t="str">
        <x:v>All input-driven actions and output assertions matched.</x:v>
      </x:c>
      <x:c r="P30" s="22" t="str">
        <x:v>PASS / PASS</x:v>
      </x:c>
      <x:c r="Q30" s="22" t="str">
        <x:v>09_Data_Driven_Testing/input/test_cases_input.json</x:v>
      </x:c>
      <x:c r="R30" s="22" t="str">
        <x:v>09_Data_Driven_Testing/input/test_cases_input.csv</x:v>
      </x:c>
      <x:c r="S30" s="22" t="str">
        <x:v>09_Data_Driven_Testing/results/json_all_comparison.csv; 09_Data_Driven_Testing/results/csv_all_comparison.csv</x:v>
      </x:c>
    </x:row>
    <x:row r="31" ht="53" customHeight="1">
      <x:c r="A31" s="22" t="str">
        <x:v>SC-07</x:v>
      </x:c>
      <x:c r="B31" s="22" t="str">
        <x:v>FR-7.1.2</x:v>
      </x:c>
      <x:c r="C31" s="22" t="str">
        <x:v>BR-05</x:v>
      </x:c>
      <x:c r="D31" s="22" t="str">
        <x:v>UC-07</x:v>
      </x:c>
      <x:c r="E31" s="22" t="str">
        <x:v>NFR-2.2</x:v>
      </x:c>
      <x:c r="F31" s="22" t="str">
        <x:v>HZ-05</x:v>
      </x:c>
      <x:c r="G31" s="22" t="str">
        <x:v>TC-028</x:v>
      </x:c>
      <x:c r="H31" s="22" t="str">
        <x:v>Reschedule with only 2 hours left</x:v>
      </x:c>
      <x:c r="I31" s="22" t="str">
        <x:v>M-03 Reschedule Activity</x:v>
      </x:c>
      <x:c r="J31" s="22" t="str">
        <x:v>Required synthetic test fixtures exist and the actor is set up for the scenario</x:v>
      </x:c>
      <x:c r="K31" s="22" t="str">
        <x:v>1. Prepare the fixture; 2. Perform the action; 3. Check the expected outcome</x:v>
      </x:c>
      <x:c r="L31" s="22" t="str">
        <x:v>add_slot(); book(); reschedule() (expect error)</x:v>
      </x:c>
      <x:c r="M31" s="22" t="str">
        <x:v>saved.a.slot_id: {"equals": "S3"}</x:v>
      </x:c>
      <x:c r="N31" s="22" t="str">
        <x:v>Original booking remains</x:v>
      </x:c>
      <x:c r="O31" s="22" t="str">
        <x:v>All input-driven actions and output assertions matched.</x:v>
      </x:c>
      <x:c r="P31" s="22" t="str">
        <x:v>PASS / PASS</x:v>
      </x:c>
      <x:c r="Q31" s="22" t="str">
        <x:v>09_Data_Driven_Testing/input/test_cases_input.json</x:v>
      </x:c>
      <x:c r="R31" s="22" t="str">
        <x:v>09_Data_Driven_Testing/input/test_cases_input.csv</x:v>
      </x:c>
      <x:c r="S31" s="22" t="str">
        <x:v>09_Data_Driven_Testing/results/json_all_comparison.csv; 09_Data_Driven_Testing/results/csv_all_comparison.csv</x:v>
      </x:c>
    </x:row>
    <x:row r="32" ht="53" customHeight="1">
      <x:c r="A32" s="22" t="str">
        <x:v>SC-07</x:v>
      </x:c>
      <x:c r="B32" s="22" t="str">
        <x:v>FR-7.1.2</x:v>
      </x:c>
      <x:c r="C32" s="22" t="str">
        <x:v>BR-05</x:v>
      </x:c>
      <x:c r="D32" s="22" t="str">
        <x:v>UC-07</x:v>
      </x:c>
      <x:c r="E32" s="22" t="str">
        <x:v>NFR-2.2</x:v>
      </x:c>
      <x:c r="F32" s="22" t="str">
        <x:v>HZ-05</x:v>
      </x:c>
      <x:c r="G32" s="22" t="str">
        <x:v>TC-029</x:v>
      </x:c>
      <x:c r="H32" s="22" t="str">
        <x:v>Reschedule to a full slot</x:v>
      </x:c>
      <x:c r="I32" s="22" t="str">
        <x:v>M-03 Reschedule Activity</x:v>
      </x:c>
      <x:c r="J32" s="22" t="str">
        <x:v>Required synthetic test fixtures exist and the actor is set up for the scenario</x:v>
      </x:c>
      <x:c r="K32" s="22" t="str">
        <x:v>1. Prepare the fixture; 2. Perform the action; 3. Check the expected outcome</x:v>
      </x:c>
      <x:c r="L32" s="22" t="str">
        <x:v>book(); book(); book(); reschedule() (expect error)</x:v>
      </x:c>
      <x:c r="M32" s="22" t="str">
        <x:v>saved.a.slot_id: {"equals": "S1"}; model.slots.S2.booked: {"equals": 2}</x:v>
      </x:c>
      <x:c r="N32" s="22" t="str">
        <x:v>Original booking remains</x:v>
      </x:c>
      <x:c r="O32" s="22" t="str">
        <x:v>All input-driven actions and output assertions matched.</x:v>
      </x:c>
      <x:c r="P32" s="22" t="str">
        <x:v>PASS / PASS</x:v>
      </x:c>
      <x:c r="Q32" s="22" t="str">
        <x:v>09_Data_Driven_Testing/input/test_cases_input.json</x:v>
      </x:c>
      <x:c r="R32" s="22" t="str">
        <x:v>09_Data_Driven_Testing/input/test_cases_input.csv</x:v>
      </x:c>
      <x:c r="S32" s="22" t="str">
        <x:v>09_Data_Driven_Testing/results/json_all_comparison.csv; 09_Data_Driven_Testing/results/csv_all_comparison.csv</x:v>
      </x:c>
    </x:row>
    <x:row r="33" ht="53" customHeight="1">
      <x:c r="A33" s="22" t="str">
        <x:v>SC-06</x:v>
      </x:c>
      <x:c r="B33" s="22" t="str">
        <x:v>FR-7.1.2</x:v>
      </x:c>
      <x:c r="C33" s="22" t="str">
        <x:v>BR-05</x:v>
      </x:c>
      <x:c r="D33" s="22" t="str">
        <x:v>UC-07</x:v>
      </x:c>
      <x:c r="E33" s="22" t="str">
        <x:v>NFR-2.2; NFR-6.1</x:v>
      </x:c>
      <x:c r="F33" s="22" t="str">
        <x:v>HZ-05</x:v>
      </x:c>
      <x:c r="G33" s="22" t="str">
        <x:v>TC-030</x:v>
      </x:c>
      <x:c r="H33" s="22" t="str">
        <x:v>Mid-transaction rescheduling failure</x:v>
      </x:c>
      <x:c r="I33" s="22" t="str">
        <x:v>M-03 Reschedule Activity</x:v>
      </x:c>
      <x:c r="J33" s="22" t="str">
        <x:v>Required synthetic test fixtures exist and the actor is set up for the scenario</x:v>
      </x:c>
      <x:c r="K33" s="22" t="str">
        <x:v>1. Prepare the fixture; 2. Perform the action; 3. Check the expected outcome</x:v>
      </x:c>
      <x:c r="L33" s="22" t="str">
        <x:v>book(); reschedule(inject_failure=True) (expect error)</x:v>
      </x:c>
      <x:c r="M33" s="22" t="str">
        <x:v>saved.a.slot_id: {"equals": "S1"}; model.slots.S1.booked: {"equals": 1}; model.slots.S2.booked: {"equals": 0}</x:v>
      </x:c>
      <x:c r="N33" s="22" t="str">
        <x:v>Transaction rolls back with correct capacities</x:v>
      </x:c>
      <x:c r="O33" s="22" t="str">
        <x:v>All input-driven actions and output assertions matched.</x:v>
      </x:c>
      <x:c r="P33" s="22" t="str">
        <x:v>PASS / PASS</x:v>
      </x:c>
      <x:c r="Q33" s="22" t="str">
        <x:v>09_Data_Driven_Testing/input/test_cases_input.json</x:v>
      </x:c>
      <x:c r="R33" s="22" t="str">
        <x:v>09_Data_Driven_Testing/input/test_cases_input.csv</x:v>
      </x:c>
      <x:c r="S33" s="22" t="str">
        <x:v>09_Data_Driven_Testing/results/json_all_comparison.csv; 09_Data_Driven_Testing/results/csv_all_comparison.csv</x:v>
      </x:c>
    </x:row>
    <x:row r="34" ht="53" customHeight="1">
      <x:c r="A34" s="22" t="str">
        <x:v>SC-08</x:v>
      </x:c>
      <x:c r="B34" s="22" t="str">
        <x:v>FR-8.1.1</x:v>
      </x:c>
      <x:c r="C34" s="22" t="str">
        <x:v>BR-06</x:v>
      </x:c>
      <x:c r="D34" s="22" t="str">
        <x:v>UC-08</x:v>
      </x:c>
      <x:c r="E34" s="22" t="str">
        <x:v>NFR-3.1; NFR-6.1</x:v>
      </x:c>
      <x:c r="F34" s="22" t="str">
        <x:v>HZ-03</x:v>
      </x:c>
      <x:c r="G34" s="22" t="str">
        <x:v>TC-031</x:v>
      </x:c>
      <x:c r="H34" s="22" t="str">
        <x:v>Check in a Confirmed appointment</x:v>
      </x:c>
      <x:c r="I34" s="22" t="str">
        <x:v>M-04 Reception Check-in Activity</x:v>
      </x:c>
      <x:c r="J34" s="22" t="str">
        <x:v>Required synthetic test fixtures exist and the actor is set up for the scenario</x:v>
      </x:c>
      <x:c r="K34" s="22" t="str">
        <x:v>1. Prepare the fixture; 2. Perform the action; 3. Check the expected outcome</x:v>
      </x:c>
      <x:c r="L34" s="22" t="str">
        <x:v>book(); check_in()</x:v>
      </x:c>
      <x:c r="M34" s="22" t="str">
        <x:v>saved.a.status: {"equals": "Checked-in"}</x:v>
      </x:c>
      <x:c r="N34" s="22" t="str">
        <x:v>Status is Checked-in</x:v>
      </x:c>
      <x:c r="O34" s="22" t="str">
        <x:v>All input-driven actions and output assertions matched.</x:v>
      </x:c>
      <x:c r="P34" s="22" t="str">
        <x:v>PASS / PASS</x:v>
      </x:c>
      <x:c r="Q34" s="22" t="str">
        <x:v>09_Data_Driven_Testing/input/test_cases_input.json</x:v>
      </x:c>
      <x:c r="R34" s="22" t="str">
        <x:v>09_Data_Driven_Testing/input/test_cases_input.csv</x:v>
      </x:c>
      <x:c r="S34" s="22" t="str">
        <x:v>09_Data_Driven_Testing/results/json_all_comparison.csv; 09_Data_Driven_Testing/results/csv_all_comparison.csv</x:v>
      </x:c>
    </x:row>
    <x:row r="35" ht="53" customHeight="1">
      <x:c r="A35" s="22" t="str">
        <x:v>SC-10</x:v>
      </x:c>
      <x:c r="B35" s="22" t="str">
        <x:v>FR-8.1.2</x:v>
      </x:c>
      <x:c r="C35" s="22" t="str">
        <x:v>BR-06</x:v>
      </x:c>
      <x:c r="D35" s="22" t="str">
        <x:v>UC-08</x:v>
      </x:c>
      <x:c r="E35" s="22" t="str">
        <x:v>NFR-3.1</x:v>
      </x:c>
      <x:c r="F35" s="22" t="str">
        <x:v>HZ-03</x:v>
      </x:c>
      <x:c r="G35" s="22" t="str">
        <x:v>TC-032</x:v>
      </x:c>
      <x:c r="H35" s="22" t="str">
        <x:v>Check in a Cancelled appointment</x:v>
      </x:c>
      <x:c r="I35" s="22" t="str">
        <x:v>M-04 Reception Check-in Activity</x:v>
      </x:c>
      <x:c r="J35" s="22" t="str">
        <x:v>Required synthetic test fixtures exist and the actor is set up for the scenario</x:v>
      </x:c>
      <x:c r="K35" s="22" t="str">
        <x:v>1. Prepare the fixture; 2. Perform the action; 3. Check the expected outcome</x:v>
      </x:c>
      <x:c r="L35" s="22" t="str">
        <x:v>book(); cancel(); check_in() (expect error)</x:v>
      </x:c>
      <x:c r="M35" s="22" t="str">
        <x:v>saved.a.status: {"equals": "Cancelled"}</x:v>
      </x:c>
      <x:c r="N35" s="22" t="str">
        <x:v>Check-in is denied</x:v>
      </x:c>
      <x:c r="O35" s="22" t="str">
        <x:v>All input-driven actions and output assertions matched.</x:v>
      </x:c>
      <x:c r="P35" s="22" t="str">
        <x:v>PASS / PASS</x:v>
      </x:c>
      <x:c r="Q35" s="22" t="str">
        <x:v>09_Data_Driven_Testing/input/test_cases_input.json</x:v>
      </x:c>
      <x:c r="R35" s="22" t="str">
        <x:v>09_Data_Driven_Testing/input/test_cases_input.csv</x:v>
      </x:c>
      <x:c r="S35" s="22" t="str">
        <x:v>09_Data_Driven_Testing/results/json_all_comparison.csv; 09_Data_Driven_Testing/results/csv_all_comparison.csv</x:v>
      </x:c>
    </x:row>
    <x:row r="36" ht="53" customHeight="1">
      <x:c r="A36" s="22" t="str">
        <x:v>SC-08</x:v>
      </x:c>
      <x:c r="B36" s="22" t="str">
        <x:v>FR-8.1.2</x:v>
      </x:c>
      <x:c r="C36" s="22" t="str">
        <x:v>BR-06</x:v>
      </x:c>
      <x:c r="D36" s="22" t="str">
        <x:v>UC-08</x:v>
      </x:c>
      <x:c r="E36" s="22" t="str">
        <x:v>NFR-3.1; NFR-6.1</x:v>
      </x:c>
      <x:c r="F36" s="22" t="str">
        <x:v>HZ-03</x:v>
      </x:c>
      <x:c r="G36" s="22" t="str">
        <x:v>TC-033</x:v>
      </x:c>
      <x:c r="H36" s="22" t="str">
        <x:v>Repeated check-in</x:v>
      </x:c>
      <x:c r="I36" s="22" t="str">
        <x:v>M-04 Reception Check-in Activity</x:v>
      </x:c>
      <x:c r="J36" s="22" t="str">
        <x:v>Required synthetic test fixtures exist and the actor is set up for the scenario</x:v>
      </x:c>
      <x:c r="K36" s="22" t="str">
        <x:v>1. Prepare the fixture; 2. Perform the action; 3. Check the expected outcome</x:v>
      </x:c>
      <x:c r="L36" s="22" t="str">
        <x:v>book(); check_in(); check_in() (expect error)</x:v>
      </x:c>
      <x:c r="M36" s="22" t="str">
        <x:v>saved.a.status: {"equals": "Checked-in"}</x:v>
      </x:c>
      <x:c r="N36" s="22" t="str">
        <x:v>No duplicate check-in is recorded</x:v>
      </x:c>
      <x:c r="O36" s="22" t="str">
        <x:v>All input-driven actions and output assertions matched.</x:v>
      </x:c>
      <x:c r="P36" s="22" t="str">
        <x:v>PASS / PASS</x:v>
      </x:c>
      <x:c r="Q36" s="22" t="str">
        <x:v>09_Data_Driven_Testing/input/test_cases_input.json</x:v>
      </x:c>
      <x:c r="R36" s="22" t="str">
        <x:v>09_Data_Driven_Testing/input/test_cases_input.csv</x:v>
      </x:c>
      <x:c r="S36" s="22" t="str">
        <x:v>09_Data_Driven_Testing/results/json_all_comparison.csv; 09_Data_Driven_Testing/results/csv_all_comparison.csv</x:v>
      </x:c>
    </x:row>
    <x:row r="37" ht="53" customHeight="1">
      <x:c r="A37" s="22" t="str">
        <x:v>SC-08</x:v>
      </x:c>
      <x:c r="B37" s="22" t="str">
        <x:v>FR-8.1.2</x:v>
      </x:c>
      <x:c r="C37" s="22" t="str">
        <x:v>BR-06</x:v>
      </x:c>
      <x:c r="D37" s="22" t="str">
        <x:v>UC-08</x:v>
      </x:c>
      <x:c r="E37" s="22" t="str">
        <x:v>NFR-3.1; NFR-6.1</x:v>
      </x:c>
      <x:c r="F37" s="22" t="str">
        <x:v>HZ-03</x:v>
      </x:c>
      <x:c r="G37" s="22" t="str">
        <x:v>TC-034</x:v>
      </x:c>
      <x:c r="H37" s="22" t="str">
        <x:v>Unknown appointment ID</x:v>
      </x:c>
      <x:c r="I37" s="22" t="str">
        <x:v>M-04 Reception Check-in Activity</x:v>
      </x:c>
      <x:c r="J37" s="22" t="str">
        <x:v>Required synthetic test fixtures exist and the actor is set up for the scenario</x:v>
      </x:c>
      <x:c r="K37" s="22" t="str">
        <x:v>1. Prepare the fixture; 2. Perform the action; 3. Check the expected outcome</x:v>
      </x:c>
      <x:c r="L37" s="22" t="str">
        <x:v>appointment_by_code() (expect error)</x:v>
      </x:c>
      <x:c r="M37" s="22" t="str">
        <x:v>model.appointments: {"length": 0}</x:v>
      </x:c>
      <x:c r="N37" s="22" t="str">
        <x:v>Not-found message is displayed</x:v>
      </x:c>
      <x:c r="O37" s="22" t="str">
        <x:v>All input-driven actions and output assertions matched.</x:v>
      </x:c>
      <x:c r="P37" s="22" t="str">
        <x:v>PASS / PASS</x:v>
      </x:c>
      <x:c r="Q37" s="22" t="str">
        <x:v>09_Data_Driven_Testing/input/test_cases_input.json</x:v>
      </x:c>
      <x:c r="R37" s="22" t="str">
        <x:v>09_Data_Driven_Testing/input/test_cases_input.csv</x:v>
      </x:c>
      <x:c r="S37" s="22" t="str">
        <x:v>09_Data_Driven_Testing/results/json_all_comparison.csv; 09_Data_Driven_Testing/results/csv_all_comparison.csv</x:v>
      </x:c>
    </x:row>
    <x:row r="38" ht="53" customHeight="1">
      <x:c r="A38" s="22" t="str">
        <x:v>SC-11</x:v>
      </x:c>
      <x:c r="B38" s="22" t="str">
        <x:v>FR-9.1.1</x:v>
      </x:c>
      <x:c r="C38" s="22" t="str">
        <x:v>BR-07</x:v>
      </x:c>
      <x:c r="D38" s="22" t="str">
        <x:v>UC-09</x:v>
      </x:c>
      <x:c r="E38" s="22" t="str">
        <x:v>NFR-3.1; NFR-6.1</x:v>
      </x:c>
      <x:c r="F38" s="22" t="str">
        <x:v>—</x:v>
      </x:c>
      <x:c r="G38" s="22" t="str">
        <x:v>TC-035</x:v>
      </x:c>
      <x:c r="H38" s="22" t="str">
        <x:v>Doctor views assigned list</x:v>
      </x:c>
      <x:c r="I38" s="22" t="str">
        <x:v>M-05 Appointment State Machine</x:v>
      </x:c>
      <x:c r="J38" s="22" t="str">
        <x:v>Required synthetic test fixtures exist and the actor is set up for the scenario</x:v>
      </x:c>
      <x:c r="K38" s="22" t="str">
        <x:v>1. Prepare the fixture; 2. Perform the action; 3. Check the expected outcome</x:v>
      </x:c>
      <x:c r="L38" s="22" t="str">
        <x:v>book(); book(); doctor_queue()</x:v>
      </x:c>
      <x:c r="M38" s="22" t="str">
        <x:v>saved.queue: {"length": 1}</x:v>
      </x:c>
      <x:c r="N38" s="22" t="str">
        <x:v>Only assigned visits are returned</x:v>
      </x:c>
      <x:c r="O38" s="22" t="str">
        <x:v>All input-driven actions and output assertions matched.</x:v>
      </x:c>
      <x:c r="P38" s="22" t="str">
        <x:v>PASS / PASS</x:v>
      </x:c>
      <x:c r="Q38" s="22" t="str">
        <x:v>09_Data_Driven_Testing/input/test_cases_input.json</x:v>
      </x:c>
      <x:c r="R38" s="22" t="str">
        <x:v>09_Data_Driven_Testing/input/test_cases_input.csv</x:v>
      </x:c>
      <x:c r="S38" s="22" t="str">
        <x:v>09_Data_Driven_Testing/results/json_all_comparison.csv; 09_Data_Driven_Testing/results/csv_all_comparison.csv</x:v>
      </x:c>
    </x:row>
    <x:row r="39" ht="53" customHeight="1">
      <x:c r="A39" s="22" t="str">
        <x:v>SC-11</x:v>
      </x:c>
      <x:c r="B39" s="22" t="str">
        <x:v>FR-9.1.1</x:v>
      </x:c>
      <x:c r="C39" s="22" t="str">
        <x:v>BR-07</x:v>
      </x:c>
      <x:c r="D39" s="22" t="str">
        <x:v>UC-09</x:v>
      </x:c>
      <x:c r="E39" s="22" t="str">
        <x:v>NFR-3.1; NFR-6.1</x:v>
      </x:c>
      <x:c r="F39" s="22" t="str">
        <x:v>—</x:v>
      </x:c>
      <x:c r="G39" s="22" t="str">
        <x:v>TC-036</x:v>
      </x:c>
      <x:c r="H39" s="22" t="str">
        <x:v>Doctor accesses another physician’s list</x:v>
      </x:c>
      <x:c r="I39" s="22" t="str">
        <x:v>M-05 Appointment State Machine</x:v>
      </x:c>
      <x:c r="J39" s="22" t="str">
        <x:v>Required synthetic test fixtures exist and the actor is set up for the scenario</x:v>
      </x:c>
      <x:c r="K39" s="22" t="str">
        <x:v>1. Prepare the fixture; 2. Perform the action; 3. Check the expected outcome</x:v>
      </x:c>
      <x:c r="L39" s="22" t="str">
        <x:v>doctor_queue() (expect error)</x:v>
      </x:c>
      <x:c r="M39" s="22" t="str">
        <x:v>model.appointments: {"length": 0}</x:v>
      </x:c>
      <x:c r="N39" s="22" t="str">
        <x:v>Access is denied</x:v>
      </x:c>
      <x:c r="O39" s="22" t="str">
        <x:v>All input-driven actions and output assertions matched.</x:v>
      </x:c>
      <x:c r="P39" s="22" t="str">
        <x:v>PASS / PASS</x:v>
      </x:c>
      <x:c r="Q39" s="22" t="str">
        <x:v>09_Data_Driven_Testing/input/test_cases_input.json</x:v>
      </x:c>
      <x:c r="R39" s="22" t="str">
        <x:v>09_Data_Driven_Testing/input/test_cases_input.csv</x:v>
      </x:c>
      <x:c r="S39" s="22" t="str">
        <x:v>09_Data_Driven_Testing/results/json_all_comparison.csv; 09_Data_Driven_Testing/results/csv_all_comparison.csv</x:v>
      </x:c>
    </x:row>
    <x:row r="40" ht="53" customHeight="1">
      <x:c r="A40" s="22" t="str">
        <x:v>SC-11</x:v>
      </x:c>
      <x:c r="B40" s="22" t="str">
        <x:v>FR-9.1.2</x:v>
      </x:c>
      <x:c r="C40" s="22" t="str">
        <x:v>BR-07</x:v>
      </x:c>
      <x:c r="D40" s="22" t="str">
        <x:v>UC-09</x:v>
      </x:c>
      <x:c r="E40" s="22" t="str">
        <x:v>NFR-3.1; NFR-6.1</x:v>
      </x:c>
      <x:c r="F40" s="22" t="str">
        <x:v>—</x:v>
      </x:c>
      <x:c r="G40" s="22" t="str">
        <x:v>TC-037</x:v>
      </x:c>
      <x:c r="H40" s="22" t="str">
        <x:v>Begin consultation in valid status</x:v>
      </x:c>
      <x:c r="I40" s="22" t="str">
        <x:v>M-05 Appointment State Machine</x:v>
      </x:c>
      <x:c r="J40" s="22" t="str">
        <x:v>Required synthetic test fixtures exist and the actor is set up for the scenario</x:v>
      </x:c>
      <x:c r="K40" s="22" t="str">
        <x:v>1. Prepare the fixture; 2. Perform the action; 3. Check the expected outcome</x:v>
      </x:c>
      <x:c r="L40" s="22" t="str">
        <x:v>book(); check_in(); doctor_update()</x:v>
      </x:c>
      <x:c r="M40" s="22" t="str">
        <x:v>saved.a.status: {"equals": "In Progress"}</x:v>
      </x:c>
      <x:c r="N40" s="22" t="str">
        <x:v>Status becomes In Progress</x:v>
      </x:c>
      <x:c r="O40" s="22" t="str">
        <x:v>All input-driven actions and output assertions matched.</x:v>
      </x:c>
      <x:c r="P40" s="22" t="str">
        <x:v>PASS / PASS</x:v>
      </x:c>
      <x:c r="Q40" s="22" t="str">
        <x:v>09_Data_Driven_Testing/input/test_cases_input.json</x:v>
      </x:c>
      <x:c r="R40" s="22" t="str">
        <x:v>09_Data_Driven_Testing/input/test_cases_input.csv</x:v>
      </x:c>
      <x:c r="S40" s="22" t="str">
        <x:v>09_Data_Driven_Testing/results/json_all_comparison.csv; 09_Data_Driven_Testing/results/csv_all_comparison.csv</x:v>
      </x:c>
    </x:row>
    <x:row r="41" ht="53" customHeight="1">
      <x:c r="A41" s="22" t="str">
        <x:v>SC-11</x:v>
      </x:c>
      <x:c r="B41" s="22" t="str">
        <x:v>FR-9.1.2</x:v>
      </x:c>
      <x:c r="C41" s="22" t="str">
        <x:v>BR-07</x:v>
      </x:c>
      <x:c r="D41" s="22" t="str">
        <x:v>UC-09</x:v>
      </x:c>
      <x:c r="E41" s="22" t="str">
        <x:v>NFR-3.1; NFR-6.1</x:v>
      </x:c>
      <x:c r="F41" s="22" t="str">
        <x:v>—</x:v>
      </x:c>
      <x:c r="G41" s="22" t="str">
        <x:v>TC-038</x:v>
      </x:c>
      <x:c r="H41" s="22" t="str">
        <x:v>Begin consultation before check-in</x:v>
      </x:c>
      <x:c r="I41" s="22" t="str">
        <x:v>M-05 Appointment State Machine</x:v>
      </x:c>
      <x:c r="J41" s="22" t="str">
        <x:v>Required synthetic test fixtures exist and the actor is set up for the scenario</x:v>
      </x:c>
      <x:c r="K41" s="22" t="str">
        <x:v>1. Prepare the fixture; 2. Perform the action; 3. Check the expected outcome</x:v>
      </x:c>
      <x:c r="L41" s="22" t="str">
        <x:v>book(); doctor_update() (expect error)</x:v>
      </x:c>
      <x:c r="M41" s="22" t="str">
        <x:v>saved.a.status: {"equals": "Confirmed"}</x:v>
      </x:c>
      <x:c r="N41" s="22" t="str">
        <x:v>Transition is rejected</x:v>
      </x:c>
      <x:c r="O41" s="22" t="str">
        <x:v>All input-driven actions and output assertions matched.</x:v>
      </x:c>
      <x:c r="P41" s="22" t="str">
        <x:v>PASS / PASS</x:v>
      </x:c>
      <x:c r="Q41" s="22" t="str">
        <x:v>09_Data_Driven_Testing/input/test_cases_input.json</x:v>
      </x:c>
      <x:c r="R41" s="22" t="str">
        <x:v>09_Data_Driven_Testing/input/test_cases_input.csv</x:v>
      </x:c>
      <x:c r="S41" s="22" t="str">
        <x:v>09_Data_Driven_Testing/results/json_all_comparison.csv; 09_Data_Driven_Testing/results/csv_all_comparison.csv</x:v>
      </x:c>
    </x:row>
    <x:row r="42" ht="53" customHeight="1">
      <x:c r="A42" s="22" t="str">
        <x:v>SC-11</x:v>
      </x:c>
      <x:c r="B42" s="22" t="str">
        <x:v>FR-9.1.3</x:v>
      </x:c>
      <x:c r="C42" s="22" t="str">
        <x:v>BR-07</x:v>
      </x:c>
      <x:c r="D42" s="22" t="str">
        <x:v>UC-09</x:v>
      </x:c>
      <x:c r="E42" s="22" t="str">
        <x:v>NFR-3.1; NFR-6.1</x:v>
      </x:c>
      <x:c r="F42" s="22" t="str">
        <x:v>—</x:v>
      </x:c>
      <x:c r="G42" s="22" t="str">
        <x:v>TC-039</x:v>
      </x:c>
      <x:c r="H42" s="22" t="str">
        <x:v>Complete consultation</x:v>
      </x:c>
      <x:c r="I42" s="22" t="str">
        <x:v>M-05 Appointment State Machine</x:v>
      </x:c>
      <x:c r="J42" s="22" t="str">
        <x:v>Required synthetic test fixtures exist and the actor is set up for the scenario</x:v>
      </x:c>
      <x:c r="K42" s="22" t="str">
        <x:v>1. Prepare the fixture; 2. Perform the action; 3. Check the expected outcome</x:v>
      </x:c>
      <x:c r="L42" s="22" t="str">
        <x:v>book(); check_in(); doctor_update(); doctor_update()</x:v>
      </x:c>
      <x:c r="M42" s="22" t="str">
        <x:v>saved.a.status: {"equals": "Completed"}</x:v>
      </x:c>
      <x:c r="N42" s="22" t="str">
        <x:v>Status becomes Completed</x:v>
      </x:c>
      <x:c r="O42" s="22" t="str">
        <x:v>All input-driven actions and output assertions matched.</x:v>
      </x:c>
      <x:c r="P42" s="22" t="str">
        <x:v>PASS / PASS</x:v>
      </x:c>
      <x:c r="Q42" s="22" t="str">
        <x:v>09_Data_Driven_Testing/input/test_cases_input.json</x:v>
      </x:c>
      <x:c r="R42" s="22" t="str">
        <x:v>09_Data_Driven_Testing/input/test_cases_input.csv</x:v>
      </x:c>
      <x:c r="S42" s="22" t="str">
        <x:v>09_Data_Driven_Testing/results/json_all_comparison.csv; 09_Data_Driven_Testing/results/csv_all_comparison.csv</x:v>
      </x:c>
    </x:row>
    <x:row r="43" ht="53" customHeight="1">
      <x:c r="A43" s="22" t="str">
        <x:v>SC-18</x:v>
      </x:c>
      <x:c r="B43" s="22" t="str">
        <x:v>FR-10.1.1</x:v>
      </x:c>
      <x:c r="C43" s="22" t="str">
        <x:v>BR-08</x:v>
      </x:c>
      <x:c r="D43" s="22" t="str">
        <x:v>UC-10</x:v>
      </x:c>
      <x:c r="E43" s="22" t="str">
        <x:v>NFR-6.1</x:v>
      </x:c>
      <x:c r="F43" s="22" t="str">
        <x:v>HZ-04</x:v>
      </x:c>
      <x:c r="G43" s="22" t="str">
        <x:v>TC-040</x:v>
      </x:c>
      <x:c r="H43" s="22" t="str">
        <x:v>Create an eligible slot</x:v>
      </x:c>
      <x:c r="I43" s="22" t="str">
        <x:v>M-05 Appointment State Machine</x:v>
      </x:c>
      <x:c r="J43" s="22" t="str">
        <x:v>Required synthetic test fixtures exist and the actor is set up for the scenario</x:v>
      </x:c>
      <x:c r="K43" s="22" t="str">
        <x:v>1. Prepare the fixture; 2. Perform the action; 3. Check the expected outcome</x:v>
      </x:c>
      <x:c r="L43" s="22" t="str">
        <x:v>add_slot()</x:v>
      </x:c>
      <x:c r="M43" s="22" t="str">
        <x:v>model.slots.S3.doctor: {"equals": "Dr C"}</x:v>
      </x:c>
      <x:c r="N43" s="22" t="str">
        <x:v>Slot is created</x:v>
      </x:c>
      <x:c r="O43" s="22" t="str">
        <x:v>All input-driven actions and output assertions matched.</x:v>
      </x:c>
      <x:c r="P43" s="22" t="str">
        <x:v>PASS / PASS</x:v>
      </x:c>
      <x:c r="Q43" s="22" t="str">
        <x:v>09_Data_Driven_Testing/input/test_cases_input.json</x:v>
      </x:c>
      <x:c r="R43" s="22" t="str">
        <x:v>09_Data_Driven_Testing/input/test_cases_input.csv</x:v>
      </x:c>
      <x:c r="S43" s="22" t="str">
        <x:v>09_Data_Driven_Testing/results/json_all_comparison.csv; 09_Data_Driven_Testing/results/csv_all_comparison.csv</x:v>
      </x:c>
    </x:row>
    <x:row r="44" ht="53" customHeight="1">
      <x:c r="A44" s="22" t="str">
        <x:v>SC-18</x:v>
      </x:c>
      <x:c r="B44" s="22" t="str">
        <x:v>FR-10.1.1</x:v>
      </x:c>
      <x:c r="C44" s="22" t="str">
        <x:v>BR-08</x:v>
      </x:c>
      <x:c r="D44" s="22" t="str">
        <x:v>UC-10</x:v>
      </x:c>
      <x:c r="E44" s="22" t="str">
        <x:v>NFR-6.1</x:v>
      </x:c>
      <x:c r="F44" s="22" t="str">
        <x:v>HZ-04</x:v>
      </x:c>
      <x:c r="G44" s="22" t="str">
        <x:v>TC-041</x:v>
      </x:c>
      <x:c r="H44" s="22" t="str">
        <x:v>Create overlapping doctor slot</x:v>
      </x:c>
      <x:c r="I44" s="22" t="str">
        <x:v>M-05 Appointment State Machine</x:v>
      </x:c>
      <x:c r="J44" s="22" t="str">
        <x:v>Required synthetic test fixtures exist and the actor is set up for the scenario</x:v>
      </x:c>
      <x:c r="K44" s="22" t="str">
        <x:v>1. Prepare the fixture; 2. Perform the action; 3. Check the expected outcome</x:v>
      </x:c>
      <x:c r="L44" s="22" t="str">
        <x:v>add_slot() (expect error)</x:v>
      </x:c>
      <x:c r="M44" s="22" t="str">
        <x:v>model.slots: {"length": 2}</x:v>
      </x:c>
      <x:c r="N44" s="22" t="str">
        <x:v>Overlapping slot is rejected</x:v>
      </x:c>
      <x:c r="O44" s="22" t="str">
        <x:v>All input-driven actions and output assertions matched.</x:v>
      </x:c>
      <x:c r="P44" s="22" t="str">
        <x:v>PASS / PASS</x:v>
      </x:c>
      <x:c r="Q44" s="22" t="str">
        <x:v>09_Data_Driven_Testing/input/test_cases_input.json</x:v>
      </x:c>
      <x:c r="R44" s="22" t="str">
        <x:v>09_Data_Driven_Testing/input/test_cases_input.csv</x:v>
      </x:c>
      <x:c r="S44" s="22" t="str">
        <x:v>09_Data_Driven_Testing/results/json_all_comparison.csv; 09_Data_Driven_Testing/results/csv_all_comparison.csv</x:v>
      </x:c>
    </x:row>
    <x:row r="45" ht="53" customHeight="1">
      <x:c r="A45" s="22" t="str">
        <x:v>SC-09</x:v>
      </x:c>
      <x:c r="B45" s="22" t="str">
        <x:v>FR-10.1.2</x:v>
      </x:c>
      <x:c r="C45" s="22" t="str">
        <x:v>BR-09</x:v>
      </x:c>
      <x:c r="D45" s="22" t="str">
        <x:v>UC-10</x:v>
      </x:c>
      <x:c r="E45" s="22" t="str">
        <x:v>NFR-2.1; NFR-6.1</x:v>
      </x:c>
      <x:c r="F45" s="22" t="str">
        <x:v>HZ-04</x:v>
      </x:c>
      <x:c r="G45" s="22" t="str">
        <x:v>TC-042</x:v>
      </x:c>
      <x:c r="H45" s="22" t="str">
        <x:v>Unexpected doctor absence</x:v>
      </x:c>
      <x:c r="I45" s="22" t="str">
        <x:v>M-05 Appointment State Machine</x:v>
      </x:c>
      <x:c r="J45" s="22" t="str">
        <x:v>Required synthetic test fixtures exist and the actor is set up for the scenario</x:v>
      </x:c>
      <x:c r="K45" s="22" t="str">
        <x:v>1. Prepare the fixture; 2. Perform the action; 3. Check the expected outcome</x:v>
      </x:c>
      <x:c r="L45" s="22" t="str">
        <x:v>book(); suspend_slot()</x:v>
      </x:c>
      <x:c r="M45" s="22" t="str">
        <x:v>saved.a.status: {"equals": "Needs Rescheduling"}</x:v>
      </x:c>
      <x:c r="N45" s="22" t="str">
        <x:v>Impacted bookings are flagged</x:v>
      </x:c>
      <x:c r="O45" s="22" t="str">
        <x:v>All input-driven actions and output assertions matched.</x:v>
      </x:c>
      <x:c r="P45" s="22" t="str">
        <x:v>PASS / PASS</x:v>
      </x:c>
      <x:c r="Q45" s="22" t="str">
        <x:v>09_Data_Driven_Testing/input/test_cases_input.json</x:v>
      </x:c>
      <x:c r="R45" s="22" t="str">
        <x:v>09_Data_Driven_Testing/input/test_cases_input.csv</x:v>
      </x:c>
      <x:c r="S45" s="22" t="str">
        <x:v>09_Data_Driven_Testing/results/json_all_comparison.csv; 09_Data_Driven_Testing/results/csv_all_comparison.csv</x:v>
      </x:c>
    </x:row>
    <x:row r="46" ht="53" customHeight="1">
      <x:c r="A46" s="22" t="str">
        <x:v>SC-18</x:v>
      </x:c>
      <x:c r="B46" s="22" t="str">
        <x:v>FR-10.1.3</x:v>
      </x:c>
      <x:c r="C46" s="22" t="str">
        <x:v>BR-11</x:v>
      </x:c>
      <x:c r="D46" s="22" t="str">
        <x:v>UC-10</x:v>
      </x:c>
      <x:c r="E46" s="22" t="str">
        <x:v>NFR-6.1</x:v>
      </x:c>
      <x:c r="F46" s="22" t="str">
        <x:v>HZ-04</x:v>
      </x:c>
      <x:c r="G46" s="22" t="str">
        <x:v>TC-043</x:v>
      </x:c>
      <x:c r="H46" s="22" t="str">
        <x:v>Audit physician schedule update</x:v>
      </x:c>
      <x:c r="I46" s="22" t="str">
        <x:v>M-05 Appointment State Machine</x:v>
      </x:c>
      <x:c r="J46" s="22" t="str">
        <x:v>Required synthetic test fixtures exist and the actor is set up for the scenario</x:v>
      </x:c>
      <x:c r="K46" s="22" t="str">
        <x:v>1. Prepare the fixture; 2. Perform the action; 3. Check the expected outcome</x:v>
      </x:c>
      <x:c r="L46" s="22" t="str">
        <x:v>suspend_slot(); audit_view()</x:v>
      </x:c>
      <x:c r="M46" s="22" t="str">
        <x:v>saved.log.3.action: {"equals": "schedule_change"}; saved.log.3.details: {"has_keys": ["before", "after", "slot"]}</x:v>
      </x:c>
      <x:c r="N46" s="22" t="str">
        <x:v>Actor, time and before/after values appear</x:v>
      </x:c>
      <x:c r="O46" s="22" t="str">
        <x:v>All input-driven actions and output assertions matched.</x:v>
      </x:c>
      <x:c r="P46" s="22" t="str">
        <x:v>PASS / PASS</x:v>
      </x:c>
      <x:c r="Q46" s="22" t="str">
        <x:v>09_Data_Driven_Testing/input/test_cases_input.json</x:v>
      </x:c>
      <x:c r="R46" s="22" t="str">
        <x:v>09_Data_Driven_Testing/input/test_cases_input.csv</x:v>
      </x:c>
      <x:c r="S46" s="22" t="str">
        <x:v>09_Data_Driven_Testing/results/json_all_comparison.csv; 09_Data_Driven_Testing/results/csv_all_comparison.csv</x:v>
      </x:c>
    </x:row>
    <x:row r="47" ht="53" customHeight="1">
      <x:c r="A47" s="22" t="str">
        <x:v>SC-01</x:v>
      </x:c>
      <x:c r="B47" s="22" t="str">
        <x:v>FR-11.1.1</x:v>
      </x:c>
      <x:c r="C47" s="22" t="str">
        <x:v>BR-12</x:v>
      </x:c>
      <x:c r="D47" s="22" t="str">
        <x:v>UC-11</x:v>
      </x:c>
      <x:c r="E47" s="22" t="str">
        <x:v>NFR-1.1; NFR-1.2; NFR-2.1; NFR-5.1</x:v>
      </x:c>
      <x:c r="F47" s="22" t="str">
        <x:v>HZ-01</x:v>
      </x:c>
      <x:c r="G47" s="22" t="str">
        <x:v>TC-044</x:v>
      </x:c>
      <x:c r="H47" s="22" t="str">
        <x:v>Booking produces an outbox event</x:v>
      </x:c>
      <x:c r="I47" s="22" t="str">
        <x:v>M-02 Booking Activity</x:v>
      </x:c>
      <x:c r="J47" s="22" t="str">
        <x:v>Required synthetic test fixtures exist and the actor is set up for the scenario</x:v>
      </x:c>
      <x:c r="K47" s="22" t="str">
        <x:v>1. Prepare the fixture; 2. Perform the action; 3. Check the expected outcome</x:v>
      </x:c>
      <x:c r="L47" s="22" t="str">
        <x:v>book()</x:v>
      </x:c>
      <x:c r="M47" s="22" t="str">
        <x:v>model.outbox: {"length": 1}; model.outbox.0.kind: {"equals": "BookingConfirmed"}; model.outbox.0: {"has_keys": ["event_id", "appointment_id"]}</x:v>
      </x:c>
      <x:c r="N47" s="22" t="str">
        <x:v>Unique notification event is recorded</x:v>
      </x:c>
      <x:c r="O47" s="22" t="str">
        <x:v>All input-driven actions and output assertions matched.</x:v>
      </x:c>
      <x:c r="P47" s="22" t="str">
        <x:v>PASS / PASS</x:v>
      </x:c>
      <x:c r="Q47" s="22" t="str">
        <x:v>09_Data_Driven_Testing/input/test_cases_input.json</x:v>
      </x:c>
      <x:c r="R47" s="22" t="str">
        <x:v>09_Data_Driven_Testing/input/test_cases_input.csv</x:v>
      </x:c>
      <x:c r="S47" s="22" t="str">
        <x:v>09_Data_Driven_Testing/results/json_all_comparison.csv; 09_Data_Driven_Testing/results/csv_all_comparison.csv</x:v>
      </x:c>
    </x:row>
    <x:row r="48" ht="53" customHeight="1">
      <x:c r="A48" s="22" t="str">
        <x:v>SC-04</x:v>
      </x:c>
      <x:c r="B48" s="22" t="str">
        <x:v>FR-11.1.1</x:v>
      </x:c>
      <x:c r="C48" s="22" t="str">
        <x:v>BR-12</x:v>
      </x:c>
      <x:c r="D48" s="22" t="str">
        <x:v>UC-11</x:v>
      </x:c>
      <x:c r="E48" s="22" t="str">
        <x:v>NFR-6.1</x:v>
      </x:c>
      <x:c r="F48" s="22" t="str">
        <x:v>—</x:v>
      </x:c>
      <x:c r="G48" s="22" t="str">
        <x:v>TC-045</x:v>
      </x:c>
      <x:c r="H48" s="22" t="str">
        <x:v>Cancellation produces an outbox event</x:v>
      </x:c>
      <x:c r="I48" s="22" t="str">
        <x:v>M-05 Appointment State Machine</x:v>
      </x:c>
      <x:c r="J48" s="22" t="str">
        <x:v>Required synthetic test fixtures exist and the actor is set up for the scenario</x:v>
      </x:c>
      <x:c r="K48" s="22" t="str">
        <x:v>1. Prepare the fixture; 2. Perform the action; 3. Check the expected outcome</x:v>
      </x:c>
      <x:c r="L48" s="22" t="str">
        <x:v>book(); cancel()</x:v>
      </x:c>
      <x:c r="M48" s="22" t="str">
        <x:v>model.outbox: {"length": 2}; model.outbox.1.kind: {"equals": "BookingCancelled"}</x:v>
      </x:c>
      <x:c r="N48" s="22" t="str">
        <x:v>Cancellation event is recorded</x:v>
      </x:c>
      <x:c r="O48" s="22" t="str">
        <x:v>All input-driven actions and output assertions matched.</x:v>
      </x:c>
      <x:c r="P48" s="22" t="str">
        <x:v>PASS / PASS</x:v>
      </x:c>
      <x:c r="Q48" s="22" t="str">
        <x:v>09_Data_Driven_Testing/input/test_cases_input.json</x:v>
      </x:c>
      <x:c r="R48" s="22" t="str">
        <x:v>09_Data_Driven_Testing/input/test_cases_input.csv</x:v>
      </x:c>
      <x:c r="S48" s="22" t="str">
        <x:v>09_Data_Driven_Testing/results/json_all_comparison.csv; 09_Data_Driven_Testing/results/csv_all_comparison.csv</x:v>
      </x:c>
    </x:row>
    <x:row r="49" ht="53" customHeight="1">
      <x:c r="A49" s="22" t="str">
        <x:v>SC-12</x:v>
      </x:c>
      <x:c r="B49" s="22" t="str">
        <x:v>FR-11.1.2</x:v>
      </x:c>
      <x:c r="C49" s="22" t="str">
        <x:v>BR-12</x:v>
      </x:c>
      <x:c r="D49" s="22" t="str">
        <x:v>UC-11</x:v>
      </x:c>
      <x:c r="E49" s="22" t="str">
        <x:v>NFR-7.1</x:v>
      </x:c>
      <x:c r="F49" s="22" t="str">
        <x:v>HZ-06</x:v>
      </x:c>
      <x:c r="G49" s="22" t="str">
        <x:v>TC-046</x:v>
      </x:c>
      <x:c r="H49" s="22" t="str">
        <x:v>Provider fails to deliver a notification</x:v>
      </x:c>
      <x:c r="I49" s="22" t="str">
        <x:v>M-07 DFD Level 1</x:v>
      </x:c>
      <x:c r="J49" s="22" t="str">
        <x:v>Required synthetic test fixtures exist and the actor is set up for the scenario</x:v>
      </x:c>
      <x:c r="K49" s="22" t="str">
        <x:v>1. Prepare the fixture; 2. Perform the action; 3. Check the expected outcome</x:v>
      </x:c>
      <x:c r="L49" s="22" t="str">
        <x:v>book(); send_notification()</x:v>
      </x:c>
      <x:c r="M49" s="22" t="str">
        <x:v>saved.sent: {"equals": false}; saved.a.status: {"equals": "Confirmed"}; model.outbox.0.state: {"equals": "RetryQueued"}</x:v>
      </x:c>
      <x:c r="N49" s="22" t="str">
        <x:v>Booking remains Confirmed</x:v>
      </x:c>
      <x:c r="O49" s="22" t="str">
        <x:v>All input-driven actions and output assertions matched.</x:v>
      </x:c>
      <x:c r="P49" s="22" t="str">
        <x:v>PASS / PASS</x:v>
      </x:c>
      <x:c r="Q49" s="22" t="str">
        <x:v>09_Data_Driven_Testing/input/test_cases_input.json</x:v>
      </x:c>
      <x:c r="R49" s="22" t="str">
        <x:v>09_Data_Driven_Testing/input/test_cases_input.csv</x:v>
      </x:c>
      <x:c r="S49" s="22" t="str">
        <x:v>09_Data_Driven_Testing/results/json_all_comparison.csv; 09_Data_Driven_Testing/results/csv_all_comparison.csv</x:v>
      </x:c>
    </x:row>
    <x:row r="50" ht="53" customHeight="1">
      <x:c r="A50" s="22" t="str">
        <x:v>SC-12</x:v>
      </x:c>
      <x:c r="B50" s="22" t="str">
        <x:v>FR-11.1.2</x:v>
      </x:c>
      <x:c r="C50" s="22" t="str">
        <x:v>BR-12</x:v>
      </x:c>
      <x:c r="D50" s="22" t="str">
        <x:v>UC-11</x:v>
      </x:c>
      <x:c r="E50" s="22" t="str">
        <x:v>NFR-7.1</x:v>
      </x:c>
      <x:c r="F50" s="22" t="str">
        <x:v>HZ-06</x:v>
      </x:c>
      <x:c r="G50" s="22" t="str">
        <x:v>TC-047</x:v>
      </x:c>
      <x:c r="H50" s="22" t="str">
        <x:v>Provider retries an event</x:v>
      </x:c>
      <x:c r="I50" s="22" t="str">
        <x:v>M-07 DFD Level 1</x:v>
      </x:c>
      <x:c r="J50" s="22" t="str">
        <x:v>Required synthetic test fixtures exist and the actor is set up for the scenario</x:v>
      </x:c>
      <x:c r="K50" s="22" t="str">
        <x:v>1. Prepare the fixture; 2. Perform the action; 3. Check the expected outcome</x:v>
      </x:c>
      <x:c r="L50" s="22" t="str">
        <x:v>book(); send_notification(); send_notification()</x:v>
      </x:c>
      <x:c r="M50" s="22" t="str">
        <x:v>model.outbox: {"length": 1}; model.outbox.0.state: {"equals": "Sent"}</x:v>
      </x:c>
      <x:c r="N50" s="22" t="str">
        <x:v>No duplicate logical event is produced</x:v>
      </x:c>
      <x:c r="O50" s="22" t="str">
        <x:v>All input-driven actions and output assertions matched.</x:v>
      </x:c>
      <x:c r="P50" s="22" t="str">
        <x:v>PASS / PASS</x:v>
      </x:c>
      <x:c r="Q50" s="22" t="str">
        <x:v>09_Data_Driven_Testing/input/test_cases_input.json</x:v>
      </x:c>
      <x:c r="R50" s="22" t="str">
        <x:v>09_Data_Driven_Testing/input/test_cases_input.csv</x:v>
      </x:c>
      <x:c r="S50" s="22" t="str">
        <x:v>09_Data_Driven_Testing/results/json_all_comparison.csv; 09_Data_Driven_Testing/results/csv_all_comparison.csv</x:v>
      </x:c>
    </x:row>
    <x:row r="51" ht="53" customHeight="1">
      <x:c r="A51" s="22" t="str">
        <x:v>SC-14</x:v>
      </x:c>
      <x:c r="B51" s="22" t="str">
        <x:v>FR-12.1.1</x:v>
      </x:c>
      <x:c r="C51" s="22" t="str">
        <x:v>BR-11</x:v>
      </x:c>
      <x:c r="D51" s="22" t="str">
        <x:v>UC-12</x:v>
      </x:c>
      <x:c r="E51" s="22" t="str">
        <x:v>NFR-3.1; NFR-6.1</x:v>
      </x:c>
      <x:c r="F51" s="22" t="str">
        <x:v>HZ-02</x:v>
      </x:c>
      <x:c r="G51" s="22" t="str">
        <x:v>TC-048</x:v>
      </x:c>
      <x:c r="H51" s="22" t="str">
        <x:v>Correct appointment status summary</x:v>
      </x:c>
      <x:c r="I51" s="22" t="str">
        <x:v>M-07 DFD Level 1</x:v>
      </x:c>
      <x:c r="J51" s="22" t="str">
        <x:v>Required synthetic test fixtures exist and the actor is set up for the scenario</x:v>
      </x:c>
      <x:c r="K51" s="22" t="str">
        <x:v>1. Prepare the fixture; 2. Perform the action; 3. Check the expected outcome</x:v>
      </x:c>
      <x:c r="L51" s="22" t="str">
        <x:v>book(); book(); cancel(); admin_summary()</x:v>
      </x:c>
      <x:c r="M51" s="22" t="str">
        <x:v>saved.report.Confirmed: {"equals": 1}; saved.report.Cancelled: {"equals": 1}</x:v>
      </x:c>
      <x:c r="N51" s="22" t="str">
        <x:v>Totals match appointment records</x:v>
      </x:c>
      <x:c r="O51" s="22" t="str">
        <x:v>All input-driven actions and output assertions matched.</x:v>
      </x:c>
      <x:c r="P51" s="22" t="str">
        <x:v>PASS / PASS</x:v>
      </x:c>
      <x:c r="Q51" s="22" t="str">
        <x:v>09_Data_Driven_Testing/input/test_cases_input.json</x:v>
      </x:c>
      <x:c r="R51" s="22" t="str">
        <x:v>09_Data_Driven_Testing/input/test_cases_input.csv</x:v>
      </x:c>
      <x:c r="S51" s="22" t="str">
        <x:v>09_Data_Driven_Testing/results/json_all_comparison.csv; 09_Data_Driven_Testing/results/csv_all_comparison.csv</x:v>
      </x:c>
    </x:row>
    <x:row r="52" ht="53" customHeight="1">
      <x:c r="A52" s="22" t="str">
        <x:v>SC-14</x:v>
      </x:c>
      <x:c r="B52" s="22" t="str">
        <x:v>FR-12.1.2</x:v>
      </x:c>
      <x:c r="C52" s="22" t="str">
        <x:v>BR-11</x:v>
      </x:c>
      <x:c r="D52" s="22" t="str">
        <x:v>UC-12</x:v>
      </x:c>
      <x:c r="E52" s="22" t="str">
        <x:v>NFR-3.1; NFR-6.1</x:v>
      </x:c>
      <x:c r="F52" s="22" t="str">
        <x:v>HZ-02</x:v>
      </x:c>
      <x:c r="G52" s="22" t="str">
        <x:v>TC-049</x:v>
      </x:c>
      <x:c r="H52" s="22" t="str">
        <x:v>Audit fields are present</x:v>
      </x:c>
      <x:c r="I52" s="22" t="str">
        <x:v>M-07 DFD Level 1</x:v>
      </x:c>
      <x:c r="J52" s="22" t="str">
        <x:v>Required synthetic test fixtures exist and the actor is set up for the scenario</x:v>
      </x:c>
      <x:c r="K52" s="22" t="str">
        <x:v>1. Prepare the fixture; 2. Perform the action; 3. Check the expected outcome</x:v>
      </x:c>
      <x:c r="L52" s="22" t="str">
        <x:v>book(); audit_view()</x:v>
      </x:c>
      <x:c r="M52" s="22" t="str">
        <x:v>saved.log.2: {"has_keys": ["actor", "action", "at"]}; saved.log.2.action: {"equals": "book"}</x:v>
      </x:c>
      <x:c r="N52" s="22" t="str">
        <x:v>Actor, action and timestamp are present</x:v>
      </x:c>
      <x:c r="O52" s="22" t="str">
        <x:v>All input-driven actions and output assertions matched.</x:v>
      </x:c>
      <x:c r="P52" s="22" t="str">
        <x:v>PASS / PASS</x:v>
      </x:c>
      <x:c r="Q52" s="22" t="str">
        <x:v>09_Data_Driven_Testing/input/test_cases_input.json</x:v>
      </x:c>
      <x:c r="R52" s="22" t="str">
        <x:v>09_Data_Driven_Testing/input/test_cases_input.csv</x:v>
      </x:c>
      <x:c r="S52" s="22" t="str">
        <x:v>09_Data_Driven_Testing/results/json_all_comparison.csv; 09_Data_Driven_Testing/results/csv_all_comparison.csv</x:v>
      </x:c>
    </x:row>
    <x:row r="53" ht="53" customHeight="1">
      <x:c r="A53" s="22" t="str">
        <x:v>SC-13</x:v>
      </x:c>
      <x:c r="B53" s="22" t="str">
        <x:v>FR-12.1.3</x:v>
      </x:c>
      <x:c r="C53" s="22" t="str">
        <x:v>BR-10</x:v>
      </x:c>
      <x:c r="D53" s="22" t="str">
        <x:v>UC-12</x:v>
      </x:c>
      <x:c r="E53" s="22" t="str">
        <x:v>NFR-3.1; NFR-3.2</x:v>
      </x:c>
      <x:c r="F53" s="22" t="str">
        <x:v>HZ-02</x:v>
      </x:c>
      <x:c r="G53" s="22" t="str">
        <x:v>TC-050</x:v>
      </x:c>
      <x:c r="H53" s="22" t="str">
        <x:v>Patient requests an administrative report</x:v>
      </x:c>
      <x:c r="I53" s="22" t="str">
        <x:v>M-06 DFD Context</x:v>
      </x:c>
      <x:c r="J53" s="22" t="str">
        <x:v>Required synthetic test fixtures exist and the actor is set up for the scenario</x:v>
      </x:c>
      <x:c r="K53" s="22" t="str">
        <x:v>1. Prepare the fixture; 2. Perform the action; 3. Check the expected outcome</x:v>
      </x:c>
      <x:c r="L53" s="22" t="str">
        <x:v>admin_summary() (expect error)</x:v>
      </x:c>
      <x:c r="M53" s="22" t="str">
        <x:v>model.appointments: {"length": 0}</x:v>
      </x:c>
      <x:c r="N53" s="22" t="str">
        <x:v>Access denied</x:v>
      </x:c>
      <x:c r="O53" s="22" t="str">
        <x:v>All input-driven actions and output assertions matched.</x:v>
      </x:c>
      <x:c r="P53" s="22" t="str">
        <x:v>PASS / PASS</x:v>
      </x:c>
      <x:c r="Q53" s="22" t="str">
        <x:v>09_Data_Driven_Testing/input/test_cases_input.json</x:v>
      </x:c>
      <x:c r="R53" s="22" t="str">
        <x:v>09_Data_Driven_Testing/input/test_cases_input.csv</x:v>
      </x:c>
      <x:c r="S53" s="22" t="str">
        <x:v>09_Data_Driven_Testing/results/json_all_comparison.csv; 09_Data_Driven_Testing/results/csv_all_comparison.csv</x:v>
      </x:c>
    </x:row>
  </x:sheetData>
  <x:mergeCells>
    <x:mergeCell ref="A1:H1"/>
    <x:mergeCell ref="A2:J2"/>
  </x:mergeCells>
  <x:pageMargins left="0.7" right="0.7" top="0.75" bottom="0.75" header="0.3" footer="0.3"/>
  <x:tableParts count="1">
    <x:tablePart xmlns:r="http://schemas.openxmlformats.org/officeDocument/2006/relationships" r:id="Raf3d6b0faac7483c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7" hidden="0" customWidth="1"/>
    <x:col min="4" max="4" width="34" hidden="0" customWidth="1"/>
    <x:col min="5" max="5" width="18" hidden="0" customWidth="1"/>
    <x:col min="6" max="6" width="23" hidden="0" customWidth="1"/>
    <x:col min="7" max="7" width="15" hidden="0" customWidth="1"/>
    <x:col min="8" max="8" width="34" hidden="0" customWidth="1"/>
    <x:col min="9" max="9" width="31" hidden="0" customWidth="1"/>
    <x:col min="10" max="10" width="24" hidden="0" customWidth="1"/>
    <x:col min="11" max="11" width="36" hidden="0" customWidth="1"/>
    <x:col min="12" max="12" width="17" hidden="0" customWidth="1"/>
    <x:col min="13" max="13" width="36" hidden="0" customWidth="1"/>
    <x:col min="14" max="14" width="34" hidden="0" customWidth="1"/>
    <x:col min="15" max="15" width="42" hidden="0" customWidth="1"/>
    <x:col min="16" max="16" width="42" hidden="0" customWidth="1"/>
    <x:col min="17" max="17" width="30" hidden="0" customWidth="1"/>
    <x:col min="18" max="18" width="48" hidden="0" customWidth="1"/>
  </x:cols>
  <x:sheetData>
    <x:row r="1" ht="35" customHeight="1">
      <x:c r="A1" s="4" t="str">
        <x:v>HOAS | 10_EndToEnd_Chain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0" customHeight="1">
      <x:c r="A2" s="10" t="str">
        <x:v>READ LEFT TO RIGHT: Scenario → FR requirement → business rules → use case → NFR → hazard → test → test case/activity.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 ht="38" customHeight="1">
      <x:c r="A3" s="17" t="str">
        <x:v>Scenario ID</x:v>
      </x:c>
      <x:c r="B3" s="17" t="str">
        <x:v>Scenario</x:v>
      </x:c>
      <x:c r="C3" s="17" t="str">
        <x:v>Requirement ID</x:v>
      </x:c>
      <x:c r="D3" s="17" t="str">
        <x:v>Requirement</x:v>
      </x:c>
      <x:c r="E3" s="17" t="str">
        <x:v>Business Rule (FR)</x:v>
      </x:c>
      <x:c r="F3" s="17" t="str">
        <x:v>Business Rules (SC context)</x:v>
      </x:c>
      <x:c r="G3" s="17" t="str">
        <x:v>Use Case ID</x:v>
      </x:c>
      <x:c r="H3" s="17" t="str">
        <x:v>Use Case</x:v>
      </x:c>
      <x:c r="I3" s="17" t="str">
        <x:v>NFR (context)</x:v>
      </x:c>
      <x:c r="J3" s="17" t="str">
        <x:v>Hazard (context)</x:v>
      </x:c>
      <x:c r="K3" s="17" t="str">
        <x:v>Test / Verification approach</x:v>
      </x:c>
      <x:c r="L3" s="17" t="str">
        <x:v>Test Case ID</x:v>
      </x:c>
      <x:c r="M3" s="17" t="str">
        <x:v>Test Case</x:v>
      </x:c>
      <x:c r="N3" s="17" t="str">
        <x:v>Activity / Model</x:v>
      </x:c>
      <x:c r="O3" s="17" t="str">
        <x:v>Expected</x:v>
      </x:c>
      <x:c r="P3" s="17" t="str">
        <x:v>Actual (prototype)</x:v>
      </x:c>
      <x:c r="Q3" s="17" t="str">
        <x:v>JSON / CSV</x:v>
      </x:c>
      <x:c r="R3" s="17" t="str">
        <x:v>Evidence</x:v>
      </x:c>
    </x:row>
    <x:row r="4" ht="53" customHeight="1">
      <x:c r="A4" s="22" t="str">
        <x:v>SC-01</x:v>
      </x:c>
      <x:c r="B4" s="22" t="str">
        <x:v>Successful Appointment Booking</x:v>
      </x:c>
      <x:c r="C4" s="22" t="str">
        <x:v>FR-11.1.1</x:v>
      </x:c>
      <x:c r="D4" s="22" t="str">
        <x:v>Enqueue Notification Events</x:v>
      </x:c>
      <x:c r="E4" s="22" t="str">
        <x:v>BR-12</x:v>
      </x:c>
      <x:c r="F4" s="22" t="str">
        <x:v>BR-02; BR-03; BR-12</x:v>
      </x:c>
      <x:c r="G4" s="22" t="str">
        <x:v>UC-11</x:v>
      </x:c>
      <x:c r="H4" s="22" t="str">
        <x:v>Send Appointment Notifications</x:v>
      </x:c>
      <x:c r="I4" s="22" t="str">
        <x:v>NFR-1.1; NFR-1.2; NFR-2.1; NFR-5.1</x:v>
      </x:c>
      <x:c r="J4" s="22" t="str">
        <x:v>HZ-01</x:v>
      </x:c>
      <x:c r="K4" s="22" t="str">
        <x:v>Data-driven JSON/CSV prototype test</x:v>
      </x:c>
      <x:c r="L4" s="22" t="str">
        <x:v>TC-044</x:v>
      </x:c>
      <x:c r="M4" s="22" t="str">
        <x:v>Booking produces an outbox event</x:v>
      </x:c>
      <x:c r="N4" s="22" t="str">
        <x:v>M-02 Booking Activity</x:v>
      </x:c>
      <x:c r="O4" s="22" t="str">
        <x:v>Unique notification event is recorded</x:v>
      </x:c>
      <x:c r="P4" s="22" t="str">
        <x:v>All input-driven actions and output assertions matched.</x:v>
      </x:c>
      <x:c r="Q4" s="22" t="str">
        <x:v>PASS / PASS</x:v>
      </x:c>
      <x:c r="R4" s="22" t="str">
        <x:v>09_Data_Driven_Testing/results/json_all_comparison.csv; 09_Data_Driven_Testing/results/csv_all_comparison.csv</x:v>
      </x:c>
    </x:row>
    <x:row r="5" ht="53" customHeight="1">
      <x:c r="A5" s="22" t="str">
        <x:v>SC-01</x:v>
      </x:c>
      <x:c r="B5" s="22" t="str">
        <x:v>Successful Appointment Booking</x:v>
      </x:c>
      <x:c r="C5" s="22" t="str">
        <x:v>FR-3.1.1</x:v>
      </x:c>
      <x:c r="D5" s="22" t="str">
        <x:v>Search by Specialty</x:v>
      </x:c>
      <x:c r="E5" s="22" t="str">
        <x:v>BR-02</x:v>
      </x:c>
      <x:c r="F5" s="22" t="str">
        <x:v>BR-02; BR-03; BR-12</x:v>
      </x:c>
      <x:c r="G5" s="22" t="str">
        <x:v>UC-03</x:v>
      </x:c>
      <x:c r="H5" s="22" t="str">
        <x:v>Search Doctors and Available Slots</x:v>
      </x:c>
      <x:c r="I5" s="22" t="str">
        <x:v>NFR-1.1; NFR-1.2; NFR-2.1; NFR-5.1</x:v>
      </x:c>
      <x:c r="J5" s="22" t="str">
        <x:v>HZ-01</x:v>
      </x:c>
      <x:c r="K5" s="22" t="str">
        <x:v>Data-driven JSON/CSV prototype test</x:v>
      </x:c>
      <x:c r="L5" s="22" t="str">
        <x:v>TC-009</x:v>
      </x:c>
      <x:c r="M5" s="22" t="str">
        <x:v>Search Gastroenterology</x:v>
      </x:c>
      <x:c r="N5" s="22" t="str">
        <x:v>M-02 Booking Activity</x:v>
      </x:c>
      <x:c r="O5" s="22" t="str">
        <x:v>Only doctors in the selected specialty are returned</x:v>
      </x:c>
      <x:c r="P5" s="22" t="str">
        <x:v>All input-driven actions and output assertions matched.</x:v>
      </x:c>
      <x:c r="Q5" s="22" t="str">
        <x:v>PASS / PASS</x:v>
      </x:c>
      <x:c r="R5" s="22" t="str">
        <x:v>09_Data_Driven_Testing/results/json_all_comparison.csv; 09_Data_Driven_Testing/results/csv_all_comparison.csv</x:v>
      </x:c>
    </x:row>
    <x:row r="6" ht="53" customHeight="1">
      <x:c r="A6" s="22" t="str">
        <x:v>SC-01</x:v>
      </x:c>
      <x:c r="B6" s="22" t="str">
        <x:v>Successful Appointment Booking</x:v>
      </x:c>
      <x:c r="C6" s="22" t="str">
        <x:v>FR-3.1.2</x:v>
      </x:c>
      <x:c r="D6" s="22" t="str">
        <x:v>Show Available Slots</x:v>
      </x:c>
      <x:c r="E6" s="22" t="str">
        <x:v>BR-02</x:v>
      </x:c>
      <x:c r="F6" s="22" t="str">
        <x:v>BR-02; BR-03; BR-12</x:v>
      </x:c>
      <x:c r="G6" s="22" t="str">
        <x:v>UC-03</x:v>
      </x:c>
      <x:c r="H6" s="22" t="str">
        <x:v>Search Doctors and Available Slots</x:v>
      </x:c>
      <x:c r="I6" s="22" t="str">
        <x:v>NFR-1.1; NFR-1.2; NFR-2.1; NFR-5.1</x:v>
      </x:c>
      <x:c r="J6" s="22" t="str">
        <x:v>HZ-01</x:v>
      </x:c>
      <x:c r="K6" s="22" t="str">
        <x:v>Data-driven JSON/CSV prototype test</x:v>
      </x:c>
      <x:c r="L6" s="22" t="str">
        <x:v>TC-010</x:v>
      </x:c>
      <x:c r="M6" s="22" t="str">
        <x:v>Available slot has capacity</x:v>
      </x:c>
      <x:c r="N6" s="22" t="str">
        <x:v>M-02 Booking Activity</x:v>
      </x:c>
      <x:c r="O6" s="22" t="str">
        <x:v>Remaining capacity is displayed</x:v>
      </x:c>
      <x:c r="P6" s="22" t="str">
        <x:v>All input-driven actions and output assertions matched.</x:v>
      </x:c>
      <x:c r="Q6" s="22" t="str">
        <x:v>PASS / PASS</x:v>
      </x:c>
      <x:c r="R6" s="22" t="str">
        <x:v>09_Data_Driven_Testing/results/json_all_comparison.csv; 09_Data_Driven_Testing/results/csv_all_comparison.csv</x:v>
      </x:c>
    </x:row>
    <x:row r="7" ht="53" customHeight="1">
      <x:c r="A7" s="22" t="str">
        <x:v>SC-01</x:v>
      </x:c>
      <x:c r="B7" s="22" t="str">
        <x:v>Successful Appointment Booking</x:v>
      </x:c>
      <x:c r="C7" s="22" t="str">
        <x:v>FR-4.1.1</x:v>
      </x:c>
      <x:c r="D7" s="22" t="str">
        <x:v>Create Appointment</x:v>
      </x:c>
      <x:c r="E7" s="22" t="str">
        <x:v>BR-03</x:v>
      </x:c>
      <x:c r="F7" s="22" t="str">
        <x:v>BR-02; BR-03; BR-12</x:v>
      </x:c>
      <x:c r="G7" s="22" t="str">
        <x:v>UC-04</x:v>
      </x:c>
      <x:c r="H7" s="22" t="str">
        <x:v>Book an Appointment</x:v>
      </x:c>
      <x:c r="I7" s="22" t="str">
        <x:v>NFR-1.1; NFR-1.2; NFR-2.1; NFR-5.1</x:v>
      </x:c>
      <x:c r="J7" s="22" t="str">
        <x:v>HZ-01</x:v>
      </x:c>
      <x:c r="K7" s="22" t="str">
        <x:v>Data-driven JSON/CSV prototype test</x:v>
      </x:c>
      <x:c r="L7" s="22" t="str">
        <x:v>TC-013</x:v>
      </x:c>
      <x:c r="M7" s="22" t="str">
        <x:v>Book available slot</x:v>
      </x:c>
      <x:c r="N7" s="22" t="str">
        <x:v>M-02 Booking Activity</x:v>
      </x:c>
      <x:c r="O7" s="22" t="str">
        <x:v>One Confirmed booking with a unique code is created</x:v>
      </x:c>
      <x:c r="P7" s="22" t="str">
        <x:v>All input-driven actions and output assertions matched.</x:v>
      </x:c>
      <x:c r="Q7" s="22" t="str">
        <x:v>PASS / PASS</x:v>
      </x:c>
      <x:c r="R7" s="22" t="str">
        <x:v>09_Data_Driven_Testing/results/json_all_comparison.csv; 09_Data_Driven_Testing/results/csv_all_comparison.csv</x:v>
      </x:c>
    </x:row>
    <x:row r="8" ht="53" customHeight="1">
      <x:c r="A8" s="22" t="str">
        <x:v>SC-01</x:v>
      </x:c>
      <x:c r="B8" s="22" t="str">
        <x:v>Successful Appointment Booking</x:v>
      </x:c>
      <x:c r="C8" s="22" t="str">
        <x:v>FR-4.1.1</x:v>
      </x:c>
      <x:c r="D8" s="22" t="str">
        <x:v>Create Appointment</x:v>
      </x:c>
      <x:c r="E8" s="22" t="str">
        <x:v>BR-03</x:v>
      </x:c>
      <x:c r="F8" s="22" t="str">
        <x:v>BR-02; BR-03; BR-12</x:v>
      </x:c>
      <x:c r="G8" s="22" t="str">
        <x:v>UC-04</x:v>
      </x:c>
      <x:c r="H8" s="22" t="str">
        <x:v>Book an Appointment</x:v>
      </x:c>
      <x:c r="I8" s="22" t="str">
        <x:v>NFR-1.1; NFR-1.2; NFR-2.1; NFR-5.1</x:v>
      </x:c>
      <x:c r="J8" s="22" t="str">
        <x:v>HZ-01</x:v>
      </x:c>
      <x:c r="K8" s="22" t="str">
        <x:v>Data-driven JSON/CSV prototype test</x:v>
      </x:c>
      <x:c r="L8" s="22" t="str">
        <x:v>TC-014</x:v>
      </x:c>
      <x:c r="M8" s="22" t="str">
        <x:v>Repeated appointment ID</x:v>
      </x:c>
      <x:c r="N8" s="22" t="str">
        <x:v>M-02 Booking Activity</x:v>
      </x:c>
      <x:c r="O8" s="22" t="str">
        <x:v>Appointment IDs do not repeat</x:v>
      </x:c>
      <x:c r="P8" s="22" t="str">
        <x:v>All input-driven actions and output assertions matched.</x:v>
      </x:c>
      <x:c r="Q8" s="22" t="str">
        <x:v>PASS / PASS</x:v>
      </x:c>
      <x:c r="R8" s="22" t="str">
        <x:v>09_Data_Driven_Testing/results/json_all_comparison.csv; 09_Data_Driven_Testing/results/csv_all_comparison.csv</x:v>
      </x:c>
    </x:row>
    <x:row r="9" ht="53" customHeight="1">
      <x:c r="A9" s="22" t="str">
        <x:v>SC-02</x:v>
      </x:c>
      <x:c r="B9" s="22" t="str">
        <x:v>Concurrent Requests for the Last Place</x:v>
      </x:c>
      <x:c r="C9" s="22" t="str">
        <x:v>FR-4.1.2</x:v>
      </x:c>
      <x:c r="D9" s="22" t="str">
        <x:v>Prevent Overbooking</x:v>
      </x:c>
      <x:c r="E9" s="22" t="str">
        <x:v>BR-02</x:v>
      </x:c>
      <x:c r="F9" s="22" t="str">
        <x:v>BR-03</x:v>
      </x:c>
      <x:c r="G9" s="22" t="str">
        <x:v>UC-04</x:v>
      </x:c>
      <x:c r="H9" s="22" t="str">
        <x:v>Book an Appointment</x:v>
      </x:c>
      <x:c r="I9" s="22" t="str">
        <x:v>NFR-2.1</x:v>
      </x:c>
      <x:c r="J9" s="22" t="str">
        <x:v>HZ-01</x:v>
      </x:c>
      <x:c r="K9" s="22" t="str">
        <x:v>Data-driven JSON/CSV prototype test</x:v>
      </x:c>
      <x:c r="L9" s="22" t="str">
        <x:v>TC-015</x:v>
      </x:c>
      <x:c r="M9" s="22" t="str">
        <x:v>Two patients competing for one place</x:v>
      </x:c>
      <x:c r="N9" s="22" t="str">
        <x:v>M-02 Booking Activity</x:v>
      </x:c>
      <x:c r="O9" s="22" t="str">
        <x:v>Exactly one request succeeds</x:v>
      </x:c>
      <x:c r="P9" s="22" t="str">
        <x:v>All input-driven actions and output assertions matched.</x:v>
      </x:c>
      <x:c r="Q9" s="22" t="str">
        <x:v>PASS / PASS</x:v>
      </x:c>
      <x:c r="R9" s="22" t="str">
        <x:v>09_Data_Driven_Testing/results/json_all_comparison.csv; 09_Data_Driven_Testing/results/csv_all_comparison.csv</x:v>
      </x:c>
    </x:row>
    <x:row r="10" ht="53" customHeight="1">
      <x:c r="A10" s="22" t="str">
        <x:v>SC-02</x:v>
      </x:c>
      <x:c r="B10" s="22" t="str">
        <x:v>Concurrent Requests for the Last Place</x:v>
      </x:c>
      <x:c r="C10" s="22" t="str">
        <x:v>FR-4.1.2</x:v>
      </x:c>
      <x:c r="D10" s="22" t="str">
        <x:v>Prevent Overbooking</x:v>
      </x:c>
      <x:c r="E10" s="22" t="str">
        <x:v>BR-02</x:v>
      </x:c>
      <x:c r="F10" s="22" t="str">
        <x:v>BR-03</x:v>
      </x:c>
      <x:c r="G10" s="22" t="str">
        <x:v>UC-04</x:v>
      </x:c>
      <x:c r="H10" s="22" t="str">
        <x:v>Book an Appointment</x:v>
      </x:c>
      <x:c r="I10" s="22" t="str">
        <x:v>NFR-2.1</x:v>
      </x:c>
      <x:c r="J10" s="22" t="str">
        <x:v>HZ-01</x:v>
      </x:c>
      <x:c r="K10" s="22" t="str">
        <x:v>Data-driven JSON/CSV prototype test</x:v>
      </x:c>
      <x:c r="L10" s="22" t="str">
        <x:v>TC-016</x:v>
      </x:c>
      <x:c r="M10" s="22" t="str">
        <x:v>One hundred threads competing for one place</x:v>
      </x:c>
      <x:c r="N10" s="22" t="str">
        <x:v>M-02 Booking Activity</x:v>
      </x:c>
      <x:c r="O10" s="22" t="str">
        <x:v>Capacity is never exceeded</x:v>
      </x:c>
      <x:c r="P10" s="22" t="str">
        <x:v>All input-driven actions and output assertions matched.</x:v>
      </x:c>
      <x:c r="Q10" s="22" t="str">
        <x:v>PASS / PASS</x:v>
      </x:c>
      <x:c r="R10" s="22" t="str">
        <x:v>09_Data_Driven_Testing/results/json_all_comparison.csv; 09_Data_Driven_Testing/results/csv_all_comparison.csv</x:v>
      </x:c>
    </x:row>
    <x:row r="11" ht="53" customHeight="1">
      <x:c r="A11" s="22" t="str">
        <x:v>SC-03</x:v>
      </x:c>
      <x:c r="B11" s="22" t="str">
        <x:v>No Appointment Slots Available</x:v>
      </x:c>
      <x:c r="C11" s="22" t="str">
        <x:v>FR-3.1.2</x:v>
      </x:c>
      <x:c r="D11" s="22" t="str">
        <x:v>Show Available Slots</x:v>
      </x:c>
      <x:c r="E11" s="22" t="str">
        <x:v>BR-02</x:v>
      </x:c>
      <x:c r="F11" s="22" t="str">
        <x:v>BR-02; BR-03</x:v>
      </x:c>
      <x:c r="G11" s="22" t="str">
        <x:v>UC-03</x:v>
      </x:c>
      <x:c r="H11" s="22" t="str">
        <x:v>Search Doctors and Available Slots</x:v>
      </x:c>
      <x:c r="I11" s="22" t="str">
        <x:v>NFR-1.1; NFR-5.1</x:v>
      </x:c>
      <x:c r="J11" s="22" t="str">
        <x:v>HZ-01</x:v>
      </x:c>
      <x:c r="K11" s="22" t="str">
        <x:v>Data-driven JSON/CSV prototype test</x:v>
      </x:c>
      <x:c r="L11" s="22" t="str">
        <x:v>TC-011</x:v>
      </x:c>
      <x:c r="M11" s="22" t="str">
        <x:v>Fully booked slot</x:v>
      </x:c>
      <x:c r="N11" s="22" t="str">
        <x:v>M-02 Booking Activity</x:v>
      </x:c>
      <x:c r="O11" s="22" t="str">
        <x:v>Full slot is not shown as eligible</x:v>
      </x:c>
      <x:c r="P11" s="22" t="str">
        <x:v>All input-driven actions and output assertions matched.</x:v>
      </x:c>
      <x:c r="Q11" s="22" t="str">
        <x:v>PASS / PASS</x:v>
      </x:c>
      <x:c r="R11" s="22" t="str">
        <x:v>09_Data_Driven_Testing/results/json_all_comparison.csv; 09_Data_Driven_Testing/results/csv_all_comparison.csv</x:v>
      </x:c>
    </x:row>
    <x:row r="12" ht="53" customHeight="1">
      <x:c r="A12" s="22" t="str">
        <x:v>SC-03</x:v>
      </x:c>
      <x:c r="B12" s="22" t="str">
        <x:v>No Appointment Slots Available</x:v>
      </x:c>
      <x:c r="C12" s="22" t="str">
        <x:v>FR-3.1.3</x:v>
      </x:c>
      <x:c r="D12" s="22" t="str">
        <x:v>Handle Unavailable Schedules</x:v>
      </x:c>
      <x:c r="E12" s="22" t="str">
        <x:v>BR-02</x:v>
      </x:c>
      <x:c r="F12" s="22" t="str">
        <x:v>BR-02; BR-03</x:v>
      </x:c>
      <x:c r="G12" s="22" t="str">
        <x:v>UC-03</x:v>
      </x:c>
      <x:c r="H12" s="22" t="str">
        <x:v>Search Doctors and Available Slots</x:v>
      </x:c>
      <x:c r="I12" s="22" t="str">
        <x:v>NFR-1.1; NFR-5.1</x:v>
      </x:c>
      <x:c r="J12" s="22" t="str">
        <x:v>HZ-01</x:v>
      </x:c>
      <x:c r="K12" s="22" t="str">
        <x:v>Data-driven JSON/CSV prototype test</x:v>
      </x:c>
      <x:c r="L12" s="22" t="str">
        <x:v>TC-012</x:v>
      </x:c>
      <x:c r="M12" s="22" t="str">
        <x:v>Date with no appointments</x:v>
      </x:c>
      <x:c r="N12" s="22" t="str">
        <x:v>M-02 Booking Activity</x:v>
      </x:c>
      <x:c r="O12" s="22" t="str">
        <x:v>Alternative dates can be selected</x:v>
      </x:c>
      <x:c r="P12" s="22" t="str">
        <x:v>All input-driven actions and output assertions matched.</x:v>
      </x:c>
      <x:c r="Q12" s="22" t="str">
        <x:v>PASS / PASS</x:v>
      </x:c>
      <x:c r="R12" s="22" t="str">
        <x:v>09_Data_Driven_Testing/results/json_all_comparison.csv; 09_Data_Driven_Testing/results/csv_all_comparison.csv</x:v>
      </x:c>
    </x:row>
    <x:row r="13" ht="53" customHeight="1">
      <x:c r="A13" s="22" t="str">
        <x:v>SC-03</x:v>
      </x:c>
      <x:c r="B13" s="22" t="str">
        <x:v>No Appointment Slots Available</x:v>
      </x:c>
      <x:c r="C13" s="22" t="str">
        <x:v>FR-4.1.3</x:v>
      </x:c>
      <x:c r="D13" s="22" t="str">
        <x:v>Reject Ineligible Slot</x:v>
      </x:c>
      <x:c r="E13" s="22" t="str">
        <x:v>BR-02</x:v>
      </x:c>
      <x:c r="F13" s="22" t="str">
        <x:v>BR-02; BR-03</x:v>
      </x:c>
      <x:c r="G13" s="22" t="str">
        <x:v>UC-04</x:v>
      </x:c>
      <x:c r="H13" s="22" t="str">
        <x:v>Book an Appointment</x:v>
      </x:c>
      <x:c r="I13" s="22" t="str">
        <x:v>NFR-1.1; NFR-5.1</x:v>
      </x:c>
      <x:c r="J13" s="22" t="str">
        <x:v>HZ-01</x:v>
      </x:c>
      <x:c r="K13" s="22" t="str">
        <x:v>Data-driven JSON/CSV prototype test</x:v>
      </x:c>
      <x:c r="L13" s="22" t="str">
        <x:v>TC-018</x:v>
      </x:c>
      <x:c r="M13" s="22" t="str">
        <x:v>Already full slot</x:v>
      </x:c>
      <x:c r="N13" s="22" t="str">
        <x:v>M-02 Booking Activity</x:v>
      </x:c>
      <x:c r="O13" s="22" t="str">
        <x:v>No additional capacity is consumed</x:v>
      </x:c>
      <x:c r="P13" s="22" t="str">
        <x:v>All input-driven actions and output assertions matched.</x:v>
      </x:c>
      <x:c r="Q13" s="22" t="str">
        <x:v>PASS / PASS</x:v>
      </x:c>
      <x:c r="R13" s="22" t="str">
        <x:v>09_Data_Driven_Testing/results/json_all_comparison.csv; 09_Data_Driven_Testing/results/csv_all_comparison.csv</x:v>
      </x:c>
    </x:row>
    <x:row r="14" ht="53" customHeight="1">
      <x:c r="A14" s="22" t="str">
        <x:v>SC-04</x:v>
      </x:c>
      <x:c r="B14" s="22" t="str">
        <x:v>Cancellation Before the Deadline</x:v>
      </x:c>
      <x:c r="C14" s="22" t="str">
        <x:v>FR-11.1.1</x:v>
      </x:c>
      <x:c r="D14" s="22" t="str">
        <x:v>Enqueue Notification Events</x:v>
      </x:c>
      <x:c r="E14" s="22" t="str">
        <x:v>BR-12</x:v>
      </x:c>
      <x:c r="F14" s="22" t="str">
        <x:v>BR-04; BR-11; BR-12</x:v>
      </x:c>
      <x:c r="G14" s="22" t="str">
        <x:v>UC-11</x:v>
      </x:c>
      <x:c r="H14" s="22" t="str">
        <x:v>Send Appointment Notifications</x:v>
      </x:c>
      <x:c r="I14" s="22" t="str">
        <x:v>NFR-6.1</x:v>
      </x:c>
      <x:c r="J14" s="22" t="str">
        <x:v>—</x:v>
      </x:c>
      <x:c r="K14" s="22" t="str">
        <x:v>Data-driven JSON/CSV prototype test</x:v>
      </x:c>
      <x:c r="L14" s="22" t="str">
        <x:v>TC-045</x:v>
      </x:c>
      <x:c r="M14" s="22" t="str">
        <x:v>Cancellation produces an outbox event</x:v>
      </x:c>
      <x:c r="N14" s="22" t="str">
        <x:v>M-05 Appointment State Machine</x:v>
      </x:c>
      <x:c r="O14" s="22" t="str">
        <x:v>Cancellation event is recorded</x:v>
      </x:c>
      <x:c r="P14" s="22" t="str">
        <x:v>All input-driven actions and output assertions matched.</x:v>
      </x:c>
      <x:c r="Q14" s="22" t="str">
        <x:v>PASS / PASS</x:v>
      </x:c>
      <x:c r="R14" s="22" t="str">
        <x:v>09_Data_Driven_Testing/results/json_all_comparison.csv; 09_Data_Driven_Testing/results/csv_all_comparison.csv</x:v>
      </x:c>
    </x:row>
    <x:row r="15" ht="53" customHeight="1">
      <x:c r="A15" s="22" t="str">
        <x:v>SC-04</x:v>
      </x:c>
      <x:c r="B15" s="22" t="str">
        <x:v>Cancellation Before the Deadline</x:v>
      </x:c>
      <x:c r="C15" s="22" t="str">
        <x:v>FR-6.1.1</x:v>
      </x:c>
      <x:c r="D15" s="22" t="str">
        <x:v>Cancel Within Allowed Window</x:v>
      </x:c>
      <x:c r="E15" s="22" t="str">
        <x:v>BR-04</x:v>
      </x:c>
      <x:c r="F15" s="22" t="str">
        <x:v>BR-04; BR-11; BR-12</x:v>
      </x:c>
      <x:c r="G15" s="22" t="str">
        <x:v>UC-06</x:v>
      </x:c>
      <x:c r="H15" s="22" t="str">
        <x:v>Cancel an Appointment</x:v>
      </x:c>
      <x:c r="I15" s="22" t="str">
        <x:v>NFR-6.1</x:v>
      </x:c>
      <x:c r="J15" s="22" t="str">
        <x:v>—</x:v>
      </x:c>
      <x:c r="K15" s="22" t="str">
        <x:v>Data-driven JSON/CSV prototype test</x:v>
      </x:c>
      <x:c r="L15" s="22" t="str">
        <x:v>TC-022</x:v>
      </x:c>
      <x:c r="M15" s="22" t="str">
        <x:v>Cancel more than 24 hours early</x:v>
      </x:c>
      <x:c r="N15" s="22" t="str">
        <x:v>M-05 Appointment State Machine</x:v>
      </x:c>
      <x:c r="O15" s="22" t="str">
        <x:v>Status becomes Cancelled; capacity is restored</x:v>
      </x:c>
      <x:c r="P15" s="22" t="str">
        <x:v>All input-driven actions and output assertions matched.</x:v>
      </x:c>
      <x:c r="Q15" s="22" t="str">
        <x:v>PASS / PASS</x:v>
      </x:c>
      <x:c r="R15" s="22" t="str">
        <x:v>09_Data_Driven_Testing/results/json_all_comparison.csv; 09_Data_Driven_Testing/results/csv_all_comparison.csv</x:v>
      </x:c>
    </x:row>
    <x:row r="16" ht="53" customHeight="1">
      <x:c r="A16" s="22" t="str">
        <x:v>SC-04</x:v>
      </x:c>
      <x:c r="B16" s="22" t="str">
        <x:v>Cancellation Before the Deadline</x:v>
      </x:c>
      <x:c r="C16" s="22" t="str">
        <x:v>FR-6.1.1</x:v>
      </x:c>
      <x:c r="D16" s="22" t="str">
        <x:v>Cancel Within Allowed Window</x:v>
      </x:c>
      <x:c r="E16" s="22" t="str">
        <x:v>BR-04</x:v>
      </x:c>
      <x:c r="F16" s="22" t="str">
        <x:v>BR-04; BR-11; BR-12</x:v>
      </x:c>
      <x:c r="G16" s="22" t="str">
        <x:v>UC-06</x:v>
      </x:c>
      <x:c r="H16" s="22" t="str">
        <x:v>Cancel an Appointment</x:v>
      </x:c>
      <x:c r="I16" s="22" t="str">
        <x:v>NFR-6.1</x:v>
      </x:c>
      <x:c r="J16" s="22" t="str">
        <x:v>—</x:v>
      </x:c>
      <x:c r="K16" s="22" t="str">
        <x:v>Data-driven JSON/CSV prototype test</x:v>
      </x:c>
      <x:c r="L16" s="22" t="str">
        <x:v>TC-023</x:v>
      </x:c>
      <x:c r="M16" s="22" t="str">
        <x:v>Cancel exactly 12 hours early</x:v>
      </x:c>
      <x:c r="N16" s="22" t="str">
        <x:v>M-05 Appointment State Machine</x:v>
      </x:c>
      <x:c r="O16" s="22" t="str">
        <x:v>Cancellation is permitted at the 12-hour boundary</x:v>
      </x:c>
      <x:c r="P16" s="22" t="str">
        <x:v>All input-driven actions and output assertions matched.</x:v>
      </x:c>
      <x:c r="Q16" s="22" t="str">
        <x:v>PASS / PASS</x:v>
      </x:c>
      <x:c r="R16" s="22" t="str">
        <x:v>09_Data_Driven_Testing/results/json_all_comparison.csv; 09_Data_Driven_Testing/results/csv_all_comparison.csv</x:v>
      </x:c>
    </x:row>
    <x:row r="17" ht="53" customHeight="1">
      <x:c r="A17" s="22" t="str">
        <x:v>SC-04</x:v>
      </x:c>
      <x:c r="B17" s="22" t="str">
        <x:v>Cancellation Before the Deadline</x:v>
      </x:c>
      <x:c r="C17" s="22" t="str">
        <x:v>FR-6.1.1</x:v>
      </x:c>
      <x:c r="D17" s="22" t="str">
        <x:v>Cancel Within Allowed Window</x:v>
      </x:c>
      <x:c r="E17" s="22" t="str">
        <x:v>BR-04</x:v>
      </x:c>
      <x:c r="F17" s="22" t="str">
        <x:v>BR-04; BR-11; BR-12</x:v>
      </x:c>
      <x:c r="G17" s="22" t="str">
        <x:v>UC-06</x:v>
      </x:c>
      <x:c r="H17" s="22" t="str">
        <x:v>Cancel an Appointment</x:v>
      </x:c>
      <x:c r="I17" s="22" t="str">
        <x:v>NFR-6.1</x:v>
      </x:c>
      <x:c r="J17" s="22" t="str">
        <x:v>—</x:v>
      </x:c>
      <x:c r="K17" s="22" t="str">
        <x:v>Data-driven JSON/CSV prototype test</x:v>
      </x:c>
      <x:c r="L17" s="22" t="str">
        <x:v>TC-026</x:v>
      </x:c>
      <x:c r="M17" s="22" t="str">
        <x:v>Repeat cancellation</x:v>
      </x:c>
      <x:c r="N17" s="22" t="str">
        <x:v>M-05 Appointment State Machine</x:v>
      </x:c>
      <x:c r="O17" s="22" t="str">
        <x:v>No capacity is released twice</x:v>
      </x:c>
      <x:c r="P17" s="22" t="str">
        <x:v>All input-driven actions and output assertions matched.</x:v>
      </x:c>
      <x:c r="Q17" s="22" t="str">
        <x:v>PASS / PASS</x:v>
      </x:c>
      <x:c r="R17" s="22" t="str">
        <x:v>09_Data_Driven_Testing/results/json_all_comparison.csv; 09_Data_Driven_Testing/results/csv_all_comparison.csv</x:v>
      </x:c>
    </x:row>
    <x:row r="18" ht="53" customHeight="1">
      <x:c r="A18" s="22" t="str">
        <x:v>SC-05</x:v>
      </x:c>
      <x:c r="B18" s="22" t="str">
        <x:v>Late Cancellation Attempt</x:v>
      </x:c>
      <x:c r="C18" s="22" t="str">
        <x:v>FR-6.1.2</x:v>
      </x:c>
      <x:c r="D18" s="22" t="str">
        <x:v>Block Late or Unauthorized Cancellation</x:v>
      </x:c>
      <x:c r="E18" s="22" t="str">
        <x:v>BR-04</x:v>
      </x:c>
      <x:c r="F18" s="22" t="str">
        <x:v>BR-04</x:v>
      </x:c>
      <x:c r="G18" s="22" t="str">
        <x:v>UC-06</x:v>
      </x:c>
      <x:c r="H18" s="22" t="str">
        <x:v>Cancel an Appointment</x:v>
      </x:c>
      <x:c r="I18" s="22" t="str">
        <x:v>NFR-3.1</x:v>
      </x:c>
      <x:c r="J18" s="22" t="str">
        <x:v>—</x:v>
      </x:c>
      <x:c r="K18" s="22" t="str">
        <x:v>Data-driven JSON/CSV prototype test</x:v>
      </x:c>
      <x:c r="L18" s="22" t="str">
        <x:v>TC-024</x:v>
      </x:c>
      <x:c r="M18" s="22" t="str">
        <x:v>Cancel only 3 hours early</x:v>
      </x:c>
      <x:c r="N18" s="22" t="str">
        <x:v>M-05 Appointment State Machine</x:v>
      </x:c>
      <x:c r="O18" s="22" t="str">
        <x:v>Cancellation is rejected and capacity unchanged</x:v>
      </x:c>
      <x:c r="P18" s="22" t="str">
        <x:v>All input-driven actions and output assertions matched.</x:v>
      </x:c>
      <x:c r="Q18" s="22" t="str">
        <x:v>PASS / PASS</x:v>
      </x:c>
      <x:c r="R18" s="22" t="str">
        <x:v>09_Data_Driven_Testing/results/json_all_comparison.csv; 09_Data_Driven_Testing/results/csv_all_comparison.csv</x:v>
      </x:c>
    </x:row>
    <x:row r="19" ht="53" customHeight="1">
      <x:c r="A19" s="22" t="str">
        <x:v>SC-06</x:v>
      </x:c>
      <x:c r="B19" s="22" t="str">
        <x:v>Successful Appointment Rescheduling</x:v>
      </x:c>
      <x:c r="C19" s="22" t="str">
        <x:v>FR-7.1.1</x:v>
      </x:c>
      <x:c r="D19" s="22" t="str">
        <x:v>Atomic Appointment Rescheduling</x:v>
      </x:c>
      <x:c r="E19" s="22" t="str">
        <x:v>BR-05</x:v>
      </x:c>
      <x:c r="F19" s="22" t="str">
        <x:v>BR-05; BR-11</x:v>
      </x:c>
      <x:c r="G19" s="22" t="str">
        <x:v>UC-07</x:v>
      </x:c>
      <x:c r="H19" s="22" t="str">
        <x:v>Reschedule an Appointment</x:v>
      </x:c>
      <x:c r="I19" s="22" t="str">
        <x:v>NFR-2.2; NFR-6.1</x:v>
      </x:c>
      <x:c r="J19" s="22" t="str">
        <x:v>HZ-05</x:v>
      </x:c>
      <x:c r="K19" s="22" t="str">
        <x:v>Data-driven JSON/CSV prototype test</x:v>
      </x:c>
      <x:c r="L19" s="22" t="str">
        <x:v>TC-027</x:v>
      </x:c>
      <x:c r="M19" s="22" t="str">
        <x:v>Reschedule with at least 12 hours left</x:v>
      </x:c>
      <x:c r="N19" s="22" t="str">
        <x:v>M-03 Reschedule Activity</x:v>
      </x:c>
      <x:c r="O19" s="22" t="str">
        <x:v>Old slot is released and new slot reserved</x:v>
      </x:c>
      <x:c r="P19" s="22" t="str">
        <x:v>All input-driven actions and output assertions matched.</x:v>
      </x:c>
      <x:c r="Q19" s="22" t="str">
        <x:v>PASS / PASS</x:v>
      </x:c>
      <x:c r="R19" s="22" t="str">
        <x:v>09_Data_Driven_Testing/results/json_all_comparison.csv; 09_Data_Driven_Testing/results/csv_all_comparison.csv</x:v>
      </x:c>
    </x:row>
    <x:row r="20" ht="53" customHeight="1">
      <x:c r="A20" s="22" t="str">
        <x:v>SC-06</x:v>
      </x:c>
      <x:c r="B20" s="22" t="str">
        <x:v>Successful Appointment Rescheduling</x:v>
      </x:c>
      <x:c r="C20" s="22" t="str">
        <x:v>FR-7.1.2</x:v>
      </x:c>
      <x:c r="D20" s="22" t="str">
        <x:v>Preserve Booking on Rescheduling Failure</x:v>
      </x:c>
      <x:c r="E20" s="22" t="str">
        <x:v>BR-05</x:v>
      </x:c>
      <x:c r="F20" s="22" t="str">
        <x:v>BR-05; BR-11</x:v>
      </x:c>
      <x:c r="G20" s="22" t="str">
        <x:v>UC-07</x:v>
      </x:c>
      <x:c r="H20" s="22" t="str">
        <x:v>Reschedule an Appointment</x:v>
      </x:c>
      <x:c r="I20" s="22" t="str">
        <x:v>NFR-2.2; NFR-6.1</x:v>
      </x:c>
      <x:c r="J20" s="22" t="str">
        <x:v>HZ-05</x:v>
      </x:c>
      <x:c r="K20" s="22" t="str">
        <x:v>Data-driven JSON/CSV prototype test</x:v>
      </x:c>
      <x:c r="L20" s="22" t="str">
        <x:v>TC-030</x:v>
      </x:c>
      <x:c r="M20" s="22" t="str">
        <x:v>Mid-transaction rescheduling failure</x:v>
      </x:c>
      <x:c r="N20" s="22" t="str">
        <x:v>M-03 Reschedule Activity</x:v>
      </x:c>
      <x:c r="O20" s="22" t="str">
        <x:v>Transaction rolls back with correct capacities</x:v>
      </x:c>
      <x:c r="P20" s="22" t="str">
        <x:v>All input-driven actions and output assertions matched.</x:v>
      </x:c>
      <x:c r="Q20" s="22" t="str">
        <x:v>PASS / PASS</x:v>
      </x:c>
      <x:c r="R20" s="22" t="str">
        <x:v>09_Data_Driven_Testing/results/json_all_comparison.csv; 09_Data_Driven_Testing/results/csv_all_comparison.csv</x:v>
      </x:c>
    </x:row>
    <x:row r="21" ht="53" customHeight="1">
      <x:c r="A21" s="22" t="str">
        <x:v>SC-07</x:v>
      </x:c>
      <x:c r="B21" s="22" t="str">
        <x:v>New Slot Is Full During Rescheduling</x:v>
      </x:c>
      <x:c r="C21" s="22" t="str">
        <x:v>FR-7.1.2</x:v>
      </x:c>
      <x:c r="D21" s="22" t="str">
        <x:v>Preserve Booking on Rescheduling Failure</x:v>
      </x:c>
      <x:c r="E21" s="22" t="str">
        <x:v>BR-05</x:v>
      </x:c>
      <x:c r="F21" s="22" t="str">
        <x:v>BR-05</x:v>
      </x:c>
      <x:c r="G21" s="22" t="str">
        <x:v>UC-07</x:v>
      </x:c>
      <x:c r="H21" s="22" t="str">
        <x:v>Reschedule an Appointment</x:v>
      </x:c>
      <x:c r="I21" s="22" t="str">
        <x:v>NFR-2.2</x:v>
      </x:c>
      <x:c r="J21" s="22" t="str">
        <x:v>HZ-05</x:v>
      </x:c>
      <x:c r="K21" s="22" t="str">
        <x:v>Data-driven JSON/CSV prototype test</x:v>
      </x:c>
      <x:c r="L21" s="22" t="str">
        <x:v>TC-028</x:v>
      </x:c>
      <x:c r="M21" s="22" t="str">
        <x:v>Reschedule with only 2 hours left</x:v>
      </x:c>
      <x:c r="N21" s="22" t="str">
        <x:v>M-03 Reschedule Activity</x:v>
      </x:c>
      <x:c r="O21" s="22" t="str">
        <x:v>Original booking remains</x:v>
      </x:c>
      <x:c r="P21" s="22" t="str">
        <x:v>All input-driven actions and output assertions matched.</x:v>
      </x:c>
      <x:c r="Q21" s="22" t="str">
        <x:v>PASS / PASS</x:v>
      </x:c>
      <x:c r="R21" s="22" t="str">
        <x:v>09_Data_Driven_Testing/results/json_all_comparison.csv; 09_Data_Driven_Testing/results/csv_all_comparison.csv</x:v>
      </x:c>
    </x:row>
    <x:row r="22" ht="53" customHeight="1">
      <x:c r="A22" s="22" t="str">
        <x:v>SC-07</x:v>
      </x:c>
      <x:c r="B22" s="22" t="str">
        <x:v>New Slot Is Full During Rescheduling</x:v>
      </x:c>
      <x:c r="C22" s="22" t="str">
        <x:v>FR-7.1.2</x:v>
      </x:c>
      <x:c r="D22" s="22" t="str">
        <x:v>Preserve Booking on Rescheduling Failure</x:v>
      </x:c>
      <x:c r="E22" s="22" t="str">
        <x:v>BR-05</x:v>
      </x:c>
      <x:c r="F22" s="22" t="str">
        <x:v>BR-05</x:v>
      </x:c>
      <x:c r="G22" s="22" t="str">
        <x:v>UC-07</x:v>
      </x:c>
      <x:c r="H22" s="22" t="str">
        <x:v>Reschedule an Appointment</x:v>
      </x:c>
      <x:c r="I22" s="22" t="str">
        <x:v>NFR-2.2</x:v>
      </x:c>
      <x:c r="J22" s="22" t="str">
        <x:v>HZ-05</x:v>
      </x:c>
      <x:c r="K22" s="22" t="str">
        <x:v>Data-driven JSON/CSV prototype test</x:v>
      </x:c>
      <x:c r="L22" s="22" t="str">
        <x:v>TC-029</x:v>
      </x:c>
      <x:c r="M22" s="22" t="str">
        <x:v>Reschedule to a full slot</x:v>
      </x:c>
      <x:c r="N22" s="22" t="str">
        <x:v>M-03 Reschedule Activity</x:v>
      </x:c>
      <x:c r="O22" s="22" t="str">
        <x:v>Original booking remains</x:v>
      </x:c>
      <x:c r="P22" s="22" t="str">
        <x:v>All input-driven actions and output assertions matched.</x:v>
      </x:c>
      <x:c r="Q22" s="22" t="str">
        <x:v>PASS / PASS</x:v>
      </x:c>
      <x:c r="R22" s="22" t="str">
        <x:v>09_Data_Driven_Testing/results/json_all_comparison.csv; 09_Data_Driven_Testing/results/csv_all_comparison.csv</x:v>
      </x:c>
    </x:row>
    <x:row r="23" ht="53" customHeight="1">
      <x:c r="A23" s="22" t="str">
        <x:v>SC-08</x:v>
      </x:c>
      <x:c r="B23" s="22" t="str">
        <x:v>Patient Arrival and Check-in</x:v>
      </x:c>
      <x:c r="C23" s="22" t="str">
        <x:v>FR-8.1.1</x:v>
      </x:c>
      <x:c r="D23" s="22" t="str">
        <x:v>Validate Reception Check-in</x:v>
      </x:c>
      <x:c r="E23" s="22" t="str">
        <x:v>BR-06</x:v>
      </x:c>
      <x:c r="F23" s="22" t="str">
        <x:v>BR-06; BR-10</x:v>
      </x:c>
      <x:c r="G23" s="22" t="str">
        <x:v>UC-08</x:v>
      </x:c>
      <x:c r="H23" s="22" t="str">
        <x:v>Patient Check-in</x:v>
      </x:c>
      <x:c r="I23" s="22" t="str">
        <x:v>NFR-3.1; NFR-6.1</x:v>
      </x:c>
      <x:c r="J23" s="22" t="str">
        <x:v>HZ-03</x:v>
      </x:c>
      <x:c r="K23" s="22" t="str">
        <x:v>Data-driven JSON/CSV prototype test</x:v>
      </x:c>
      <x:c r="L23" s="22" t="str">
        <x:v>TC-031</x:v>
      </x:c>
      <x:c r="M23" s="22" t="str">
        <x:v>Check in a Confirmed appointment</x:v>
      </x:c>
      <x:c r="N23" s="22" t="str">
        <x:v>M-04 Reception Check-in Activity</x:v>
      </x:c>
      <x:c r="O23" s="22" t="str">
        <x:v>Status is Checked-in</x:v>
      </x:c>
      <x:c r="P23" s="22" t="str">
        <x:v>All input-driven actions and output assertions matched.</x:v>
      </x:c>
      <x:c r="Q23" s="22" t="str">
        <x:v>PASS / PASS</x:v>
      </x:c>
      <x:c r="R23" s="22" t="str">
        <x:v>09_Data_Driven_Testing/results/json_all_comparison.csv; 09_Data_Driven_Testing/results/csv_all_comparison.csv</x:v>
      </x:c>
    </x:row>
    <x:row r="24" ht="53" customHeight="1">
      <x:c r="A24" s="22" t="str">
        <x:v>SC-08</x:v>
      </x:c>
      <x:c r="B24" s="22" t="str">
        <x:v>Patient Arrival and Check-in</x:v>
      </x:c>
      <x:c r="C24" s="22" t="str">
        <x:v>FR-8.1.2</x:v>
      </x:c>
      <x:c r="D24" s="22" t="str">
        <x:v>Prevent Duplicate Check-in</x:v>
      </x:c>
      <x:c r="E24" s="22" t="str">
        <x:v>BR-06</x:v>
      </x:c>
      <x:c r="F24" s="22" t="str">
        <x:v>BR-06; BR-10</x:v>
      </x:c>
      <x:c r="G24" s="22" t="str">
        <x:v>UC-08</x:v>
      </x:c>
      <x:c r="H24" s="22" t="str">
        <x:v>Patient Check-in</x:v>
      </x:c>
      <x:c r="I24" s="22" t="str">
        <x:v>NFR-3.1; NFR-6.1</x:v>
      </x:c>
      <x:c r="J24" s="22" t="str">
        <x:v>HZ-03</x:v>
      </x:c>
      <x:c r="K24" s="22" t="str">
        <x:v>Data-driven JSON/CSV prototype test</x:v>
      </x:c>
      <x:c r="L24" s="22" t="str">
        <x:v>TC-033</x:v>
      </x:c>
      <x:c r="M24" s="22" t="str">
        <x:v>Repeated check-in</x:v>
      </x:c>
      <x:c r="N24" s="22" t="str">
        <x:v>M-04 Reception Check-in Activity</x:v>
      </x:c>
      <x:c r="O24" s="22" t="str">
        <x:v>No duplicate check-in is recorded</x:v>
      </x:c>
      <x:c r="P24" s="22" t="str">
        <x:v>All input-driven actions and output assertions matched.</x:v>
      </x:c>
      <x:c r="Q24" s="22" t="str">
        <x:v>PASS / PASS</x:v>
      </x:c>
      <x:c r="R24" s="22" t="str">
        <x:v>09_Data_Driven_Testing/results/json_all_comparison.csv; 09_Data_Driven_Testing/results/csv_all_comparison.csv</x:v>
      </x:c>
    </x:row>
    <x:row r="25" ht="53" customHeight="1">
      <x:c r="A25" s="22" t="str">
        <x:v>SC-08</x:v>
      </x:c>
      <x:c r="B25" s="22" t="str">
        <x:v>Patient Arrival and Check-in</x:v>
      </x:c>
      <x:c r="C25" s="22" t="str">
        <x:v>FR-8.1.2</x:v>
      </x:c>
      <x:c r="D25" s="22" t="str">
        <x:v>Prevent Duplicate Check-in</x:v>
      </x:c>
      <x:c r="E25" s="22" t="str">
        <x:v>BR-06</x:v>
      </x:c>
      <x:c r="F25" s="22" t="str">
        <x:v>BR-06; BR-10</x:v>
      </x:c>
      <x:c r="G25" s="22" t="str">
        <x:v>UC-08</x:v>
      </x:c>
      <x:c r="H25" s="22" t="str">
        <x:v>Patient Check-in</x:v>
      </x:c>
      <x:c r="I25" s="22" t="str">
        <x:v>NFR-3.1; NFR-6.1</x:v>
      </x:c>
      <x:c r="J25" s="22" t="str">
        <x:v>HZ-03</x:v>
      </x:c>
      <x:c r="K25" s="22" t="str">
        <x:v>Data-driven JSON/CSV prototype test</x:v>
      </x:c>
      <x:c r="L25" s="22" t="str">
        <x:v>TC-034</x:v>
      </x:c>
      <x:c r="M25" s="22" t="str">
        <x:v>Unknown appointment ID</x:v>
      </x:c>
      <x:c r="N25" s="22" t="str">
        <x:v>M-04 Reception Check-in Activity</x:v>
      </x:c>
      <x:c r="O25" s="22" t="str">
        <x:v>Not-found message is displayed</x:v>
      </x:c>
      <x:c r="P25" s="22" t="str">
        <x:v>All input-driven actions and output assertions matched.</x:v>
      </x:c>
      <x:c r="Q25" s="22" t="str">
        <x:v>PASS / PASS</x:v>
      </x:c>
      <x:c r="R25" s="22" t="str">
        <x:v>09_Data_Driven_Testing/results/json_all_comparison.csv; 09_Data_Driven_Testing/results/csv_all_comparison.csv</x:v>
      </x:c>
    </x:row>
    <x:row r="26" ht="53" customHeight="1">
      <x:c r="A26" s="22" t="str">
        <x:v>SC-09</x:v>
      </x:c>
      <x:c r="B26" s="22" t="str">
        <x:v>Unexpected Physician Absence</x:v>
      </x:c>
      <x:c r="C26" s="22" t="str">
        <x:v>FR-10.1.2</x:v>
      </x:c>
      <x:c r="D26" s="22" t="str">
        <x:v>Handle Unexpected Physician Absence</x:v>
      </x:c>
      <x:c r="E26" s="22" t="str">
        <x:v>BR-09</x:v>
      </x:c>
      <x:c r="F26" s="22" t="str">
        <x:v>BR-09; BR-11</x:v>
      </x:c>
      <x:c r="G26" s="22" t="str">
        <x:v>UC-10</x:v>
      </x:c>
      <x:c r="H26" s="22" t="str">
        <x:v>Manage Physician Schedules</x:v>
      </x:c>
      <x:c r="I26" s="22" t="str">
        <x:v>NFR-2.1; NFR-6.1</x:v>
      </x:c>
      <x:c r="J26" s="22" t="str">
        <x:v>HZ-04</x:v>
      </x:c>
      <x:c r="K26" s="22" t="str">
        <x:v>Data-driven JSON/CSV prototype test</x:v>
      </x:c>
      <x:c r="L26" s="22" t="str">
        <x:v>TC-042</x:v>
      </x:c>
      <x:c r="M26" s="22" t="str">
        <x:v>Unexpected doctor absence</x:v>
      </x:c>
      <x:c r="N26" s="22" t="str">
        <x:v>M-05 Appointment State Machine</x:v>
      </x:c>
      <x:c r="O26" s="22" t="str">
        <x:v>Impacted bookings are flagged</x:v>
      </x:c>
      <x:c r="P26" s="22" t="str">
        <x:v>All input-driven actions and output assertions matched.</x:v>
      </x:c>
      <x:c r="Q26" s="22" t="str">
        <x:v>PASS / PASS</x:v>
      </x:c>
      <x:c r="R26" s="22" t="str">
        <x:v>09_Data_Driven_Testing/results/json_all_comparison.csv; 09_Data_Driven_Testing/results/csv_all_comparison.csv</x:v>
      </x:c>
    </x:row>
    <x:row r="27" ht="53" customHeight="1">
      <x:c r="A27" s="22" t="str">
        <x:v>SC-09</x:v>
      </x:c>
      <x:c r="B27" s="22" t="str">
        <x:v>Unexpected Physician Absence</x:v>
      </x:c>
      <x:c r="C27" s="22" t="str">
        <x:v>FR-4.1.3</x:v>
      </x:c>
      <x:c r="D27" s="22" t="str">
        <x:v>Reject Ineligible Slot</x:v>
      </x:c>
      <x:c r="E27" s="22" t="str">
        <x:v>BR-02</x:v>
      </x:c>
      <x:c r="F27" s="22" t="str">
        <x:v>BR-09; BR-11</x:v>
      </x:c>
      <x:c r="G27" s="22" t="str">
        <x:v>UC-04</x:v>
      </x:c>
      <x:c r="H27" s="22" t="str">
        <x:v>Book an Appointment</x:v>
      </x:c>
      <x:c r="I27" s="22" t="str">
        <x:v>NFR-2.1; NFR-6.1</x:v>
      </x:c>
      <x:c r="J27" s="22" t="str">
        <x:v>HZ-04</x:v>
      </x:c>
      <x:c r="K27" s="22" t="str">
        <x:v>Data-driven JSON/CSV prototype test</x:v>
      </x:c>
      <x:c r="L27" s="22" t="str">
        <x:v>TC-017</x:v>
      </x:c>
      <x:c r="M27" s="22" t="str">
        <x:v>Doctor becomes unavailable</x:v>
      </x:c>
      <x:c r="N27" s="22" t="str">
        <x:v>M-05 Appointment State Machine</x:v>
      </x:c>
      <x:c r="O27" s="22" t="str">
        <x:v>Booking is rejected</x:v>
      </x:c>
      <x:c r="P27" s="22" t="str">
        <x:v>All input-driven actions and output assertions matched.</x:v>
      </x:c>
      <x:c r="Q27" s="22" t="str">
        <x:v>PASS / PASS</x:v>
      </x:c>
      <x:c r="R27" s="22" t="str">
        <x:v>09_Data_Driven_Testing/results/json_all_comparison.csv; 09_Data_Driven_Testing/results/csv_all_comparison.csv</x:v>
      </x:c>
    </x:row>
    <x:row r="28" ht="53" customHeight="1">
      <x:c r="A28" s="22" t="str">
        <x:v>SC-10</x:v>
      </x:c>
      <x:c r="B28" s="22" t="str">
        <x:v>Patient Arrives Late</x:v>
      </x:c>
      <x:c r="C28" s="22" t="str">
        <x:v>FR-8.1.2</x:v>
      </x:c>
      <x:c r="D28" s="22" t="str">
        <x:v>Prevent Duplicate Check-in</x:v>
      </x:c>
      <x:c r="E28" s="22" t="str">
        <x:v>BR-06</x:v>
      </x:c>
      <x:c r="F28" s="22" t="str">
        <x:v>BR-06</x:v>
      </x:c>
      <x:c r="G28" s="22" t="str">
        <x:v>UC-08</x:v>
      </x:c>
      <x:c r="H28" s="22" t="str">
        <x:v>Patient Check-in</x:v>
      </x:c>
      <x:c r="I28" s="22" t="str">
        <x:v>NFR-3.1</x:v>
      </x:c>
      <x:c r="J28" s="22" t="str">
        <x:v>HZ-03</x:v>
      </x:c>
      <x:c r="K28" s="22" t="str">
        <x:v>Data-driven JSON/CSV prototype test</x:v>
      </x:c>
      <x:c r="L28" s="22" t="str">
        <x:v>TC-032</x:v>
      </x:c>
      <x:c r="M28" s="22" t="str">
        <x:v>Check in a Cancelled appointment</x:v>
      </x:c>
      <x:c r="N28" s="22" t="str">
        <x:v>M-04 Reception Check-in Activity</x:v>
      </x:c>
      <x:c r="O28" s="22" t="str">
        <x:v>Check-in is denied</x:v>
      </x:c>
      <x:c r="P28" s="22" t="str">
        <x:v>All input-driven actions and output assertions matched.</x:v>
      </x:c>
      <x:c r="Q28" s="22" t="str">
        <x:v>PASS / PASS</x:v>
      </x:c>
      <x:c r="R28" s="22" t="str">
        <x:v>09_Data_Driven_Testing/results/json_all_comparison.csv; 09_Data_Driven_Testing/results/csv_all_comparison.csv</x:v>
      </x:c>
    </x:row>
    <x:row r="29" ht="53" customHeight="1">
      <x:c r="A29" s="22" t="str">
        <x:v>SC-11</x:v>
      </x:c>
      <x:c r="B29" s="22" t="str">
        <x:v>Doctor Updates Consultation Progress</x:v>
      </x:c>
      <x:c r="C29" s="22" t="str">
        <x:v>FR-9.1.1</x:v>
      </x:c>
      <x:c r="D29" s="22" t="str">
        <x:v>View Assigned Doctor Queue</x:v>
      </x:c>
      <x:c r="E29" s="22" t="str">
        <x:v>BR-07</x:v>
      </x:c>
      <x:c r="F29" s="22" t="str">
        <x:v>BR-07; BR-11</x:v>
      </x:c>
      <x:c r="G29" s="22" t="str">
        <x:v>UC-09</x:v>
      </x:c>
      <x:c r="H29" s="22" t="str">
        <x:v>Manage Consultation Progress</x:v>
      </x:c>
      <x:c r="I29" s="22" t="str">
        <x:v>NFR-3.1; NFR-6.1</x:v>
      </x:c>
      <x:c r="J29" s="22" t="str">
        <x:v>—</x:v>
      </x:c>
      <x:c r="K29" s="22" t="str">
        <x:v>Data-driven JSON/CSV prototype test</x:v>
      </x:c>
      <x:c r="L29" s="22" t="str">
        <x:v>TC-035</x:v>
      </x:c>
      <x:c r="M29" s="22" t="str">
        <x:v>Doctor views assigned list</x:v>
      </x:c>
      <x:c r="N29" s="22" t="str">
        <x:v>M-05 Appointment State Machine</x:v>
      </x:c>
      <x:c r="O29" s="22" t="str">
        <x:v>Only assigned visits are returned</x:v>
      </x:c>
      <x:c r="P29" s="22" t="str">
        <x:v>All input-driven actions and output assertions matched.</x:v>
      </x:c>
      <x:c r="Q29" s="22" t="str">
        <x:v>PASS / PASS</x:v>
      </x:c>
      <x:c r="R29" s="22" t="str">
        <x:v>09_Data_Driven_Testing/results/json_all_comparison.csv; 09_Data_Driven_Testing/results/csv_all_comparison.csv</x:v>
      </x:c>
    </x:row>
    <x:row r="30" ht="53" customHeight="1">
      <x:c r="A30" s="22" t="str">
        <x:v>SC-11</x:v>
      </x:c>
      <x:c r="B30" s="22" t="str">
        <x:v>Doctor Updates Consultation Progress</x:v>
      </x:c>
      <x:c r="C30" s="22" t="str">
        <x:v>FR-9.1.1</x:v>
      </x:c>
      <x:c r="D30" s="22" t="str">
        <x:v>View Assigned Doctor Queue</x:v>
      </x:c>
      <x:c r="E30" s="22" t="str">
        <x:v>BR-07</x:v>
      </x:c>
      <x:c r="F30" s="22" t="str">
        <x:v>BR-07; BR-11</x:v>
      </x:c>
      <x:c r="G30" s="22" t="str">
        <x:v>UC-09</x:v>
      </x:c>
      <x:c r="H30" s="22" t="str">
        <x:v>Manage Consultation Progress</x:v>
      </x:c>
      <x:c r="I30" s="22" t="str">
        <x:v>NFR-3.1; NFR-6.1</x:v>
      </x:c>
      <x:c r="J30" s="22" t="str">
        <x:v>—</x:v>
      </x:c>
      <x:c r="K30" s="22" t="str">
        <x:v>Data-driven JSON/CSV prototype test</x:v>
      </x:c>
      <x:c r="L30" s="22" t="str">
        <x:v>TC-036</x:v>
      </x:c>
      <x:c r="M30" s="22" t="str">
        <x:v>Doctor accesses another physician’s list</x:v>
      </x:c>
      <x:c r="N30" s="22" t="str">
        <x:v>M-05 Appointment State Machine</x:v>
      </x:c>
      <x:c r="O30" s="22" t="str">
        <x:v>Access is denied</x:v>
      </x:c>
      <x:c r="P30" s="22" t="str">
        <x:v>All input-driven actions and output assertions matched.</x:v>
      </x:c>
      <x:c r="Q30" s="22" t="str">
        <x:v>PASS / PASS</x:v>
      </x:c>
      <x:c r="R30" s="22" t="str">
        <x:v>09_Data_Driven_Testing/results/json_all_comparison.csv; 09_Data_Driven_Testing/results/csv_all_comparison.csv</x:v>
      </x:c>
    </x:row>
    <x:row r="31" ht="53" customHeight="1">
      <x:c r="A31" s="22" t="str">
        <x:v>SC-11</x:v>
      </x:c>
      <x:c r="B31" s="22" t="str">
        <x:v>Doctor Updates Consultation Progress</x:v>
      </x:c>
      <x:c r="C31" s="22" t="str">
        <x:v>FR-9.1.2</x:v>
      </x:c>
      <x:c r="D31" s="22" t="str">
        <x:v>Start Consultation</x:v>
      </x:c>
      <x:c r="E31" s="22" t="str">
        <x:v>BR-07</x:v>
      </x:c>
      <x:c r="F31" s="22" t="str">
        <x:v>BR-07; BR-11</x:v>
      </x:c>
      <x:c r="G31" s="22" t="str">
        <x:v>UC-09</x:v>
      </x:c>
      <x:c r="H31" s="22" t="str">
        <x:v>Manage Consultation Progress</x:v>
      </x:c>
      <x:c r="I31" s="22" t="str">
        <x:v>NFR-3.1; NFR-6.1</x:v>
      </x:c>
      <x:c r="J31" s="22" t="str">
        <x:v>—</x:v>
      </x:c>
      <x:c r="K31" s="22" t="str">
        <x:v>Data-driven JSON/CSV prototype test</x:v>
      </x:c>
      <x:c r="L31" s="22" t="str">
        <x:v>TC-037</x:v>
      </x:c>
      <x:c r="M31" s="22" t="str">
        <x:v>Begin consultation in valid status</x:v>
      </x:c>
      <x:c r="N31" s="22" t="str">
        <x:v>M-05 Appointment State Machine</x:v>
      </x:c>
      <x:c r="O31" s="22" t="str">
        <x:v>Status becomes In Progress</x:v>
      </x:c>
      <x:c r="P31" s="22" t="str">
        <x:v>All input-driven actions and output assertions matched.</x:v>
      </x:c>
      <x:c r="Q31" s="22" t="str">
        <x:v>PASS / PASS</x:v>
      </x:c>
      <x:c r="R31" s="22" t="str">
        <x:v>09_Data_Driven_Testing/results/json_all_comparison.csv; 09_Data_Driven_Testing/results/csv_all_comparison.csv</x:v>
      </x:c>
    </x:row>
    <x:row r="32" ht="53" customHeight="1">
      <x:c r="A32" s="22" t="str">
        <x:v>SC-11</x:v>
      </x:c>
      <x:c r="B32" s="22" t="str">
        <x:v>Doctor Updates Consultation Progress</x:v>
      </x:c>
      <x:c r="C32" s="22" t="str">
        <x:v>FR-9.1.2</x:v>
      </x:c>
      <x:c r="D32" s="22" t="str">
        <x:v>Start Consultation</x:v>
      </x:c>
      <x:c r="E32" s="22" t="str">
        <x:v>BR-07</x:v>
      </x:c>
      <x:c r="F32" s="22" t="str">
        <x:v>BR-07; BR-11</x:v>
      </x:c>
      <x:c r="G32" s="22" t="str">
        <x:v>UC-09</x:v>
      </x:c>
      <x:c r="H32" s="22" t="str">
        <x:v>Manage Consultation Progress</x:v>
      </x:c>
      <x:c r="I32" s="22" t="str">
        <x:v>NFR-3.1; NFR-6.1</x:v>
      </x:c>
      <x:c r="J32" s="22" t="str">
        <x:v>—</x:v>
      </x:c>
      <x:c r="K32" s="22" t="str">
        <x:v>Data-driven JSON/CSV prototype test</x:v>
      </x:c>
      <x:c r="L32" s="22" t="str">
        <x:v>TC-038</x:v>
      </x:c>
      <x:c r="M32" s="22" t="str">
        <x:v>Begin consultation before check-in</x:v>
      </x:c>
      <x:c r="N32" s="22" t="str">
        <x:v>M-05 Appointment State Machine</x:v>
      </x:c>
      <x:c r="O32" s="22" t="str">
        <x:v>Transition is rejected</x:v>
      </x:c>
      <x:c r="P32" s="22" t="str">
        <x:v>All input-driven actions and output assertions matched.</x:v>
      </x:c>
      <x:c r="Q32" s="22" t="str">
        <x:v>PASS / PASS</x:v>
      </x:c>
      <x:c r="R32" s="22" t="str">
        <x:v>09_Data_Driven_Testing/results/json_all_comparison.csv; 09_Data_Driven_Testing/results/csv_all_comparison.csv</x:v>
      </x:c>
    </x:row>
    <x:row r="33" ht="53" customHeight="1">
      <x:c r="A33" s="22" t="str">
        <x:v>SC-11</x:v>
      </x:c>
      <x:c r="B33" s="22" t="str">
        <x:v>Doctor Updates Consultation Progress</x:v>
      </x:c>
      <x:c r="C33" s="22" t="str">
        <x:v>FR-9.1.3</x:v>
      </x:c>
      <x:c r="D33" s="22" t="str">
        <x:v>Complete Consultation</x:v>
      </x:c>
      <x:c r="E33" s="22" t="str">
        <x:v>BR-07</x:v>
      </x:c>
      <x:c r="F33" s="22" t="str">
        <x:v>BR-07; BR-11</x:v>
      </x:c>
      <x:c r="G33" s="22" t="str">
        <x:v>UC-09</x:v>
      </x:c>
      <x:c r="H33" s="22" t="str">
        <x:v>Manage Consultation Progress</x:v>
      </x:c>
      <x:c r="I33" s="22" t="str">
        <x:v>NFR-3.1; NFR-6.1</x:v>
      </x:c>
      <x:c r="J33" s="22" t="str">
        <x:v>—</x:v>
      </x:c>
      <x:c r="K33" s="22" t="str">
        <x:v>Data-driven JSON/CSV prototype test</x:v>
      </x:c>
      <x:c r="L33" s="22" t="str">
        <x:v>TC-039</x:v>
      </x:c>
      <x:c r="M33" s="22" t="str">
        <x:v>Complete consultation</x:v>
      </x:c>
      <x:c r="N33" s="22" t="str">
        <x:v>M-05 Appointment State Machine</x:v>
      </x:c>
      <x:c r="O33" s="22" t="str">
        <x:v>Status becomes Completed</x:v>
      </x:c>
      <x:c r="P33" s="22" t="str">
        <x:v>All input-driven actions and output assertions matched.</x:v>
      </x:c>
      <x:c r="Q33" s="22" t="str">
        <x:v>PASS / PASS</x:v>
      </x:c>
      <x:c r="R33" s="22" t="str">
        <x:v>09_Data_Driven_Testing/results/json_all_comparison.csv; 09_Data_Driven_Testing/results/csv_all_comparison.csv</x:v>
      </x:c>
    </x:row>
    <x:row r="34" ht="53" customHeight="1">
      <x:c r="A34" s="22" t="str">
        <x:v>SC-12</x:v>
      </x:c>
      <x:c r="B34" s="22" t="str">
        <x:v>Notification Provider Outage</x:v>
      </x:c>
      <x:c r="C34" s="22" t="str">
        <x:v>FR-11.1.2</x:v>
      </x:c>
      <x:c r="D34" s="22" t="str">
        <x:v>Preserve Appointment During Notification Failure</x:v>
      </x:c>
      <x:c r="E34" s="22" t="str">
        <x:v>BR-12</x:v>
      </x:c>
      <x:c r="F34" s="22" t="str">
        <x:v>BR-12</x:v>
      </x:c>
      <x:c r="G34" s="22" t="str">
        <x:v>UC-11</x:v>
      </x:c>
      <x:c r="H34" s="22" t="str">
        <x:v>Send Appointment Notifications</x:v>
      </x:c>
      <x:c r="I34" s="22" t="str">
        <x:v>NFR-7.1</x:v>
      </x:c>
      <x:c r="J34" s="22" t="str">
        <x:v>HZ-06</x:v>
      </x:c>
      <x:c r="K34" s="22" t="str">
        <x:v>Data-driven JSON/CSV prototype test</x:v>
      </x:c>
      <x:c r="L34" s="22" t="str">
        <x:v>TC-046</x:v>
      </x:c>
      <x:c r="M34" s="22" t="str">
        <x:v>Provider fails to deliver a notification</x:v>
      </x:c>
      <x:c r="N34" s="22" t="str">
        <x:v>M-07 DFD Level 1</x:v>
      </x:c>
      <x:c r="O34" s="22" t="str">
        <x:v>Booking remains Confirmed</x:v>
      </x:c>
      <x:c r="P34" s="22" t="str">
        <x:v>All input-driven actions and output assertions matched.</x:v>
      </x:c>
      <x:c r="Q34" s="22" t="str">
        <x:v>PASS / PASS</x:v>
      </x:c>
      <x:c r="R34" s="22" t="str">
        <x:v>09_Data_Driven_Testing/results/json_all_comparison.csv; 09_Data_Driven_Testing/results/csv_all_comparison.csv</x:v>
      </x:c>
    </x:row>
    <x:row r="35" ht="53" customHeight="1">
      <x:c r="A35" s="22" t="str">
        <x:v>SC-12</x:v>
      </x:c>
      <x:c r="B35" s="22" t="str">
        <x:v>Notification Provider Outage</x:v>
      </x:c>
      <x:c r="C35" s="22" t="str">
        <x:v>FR-11.1.2</x:v>
      </x:c>
      <x:c r="D35" s="22" t="str">
        <x:v>Preserve Appointment During Notification Failure</x:v>
      </x:c>
      <x:c r="E35" s="22" t="str">
        <x:v>BR-12</x:v>
      </x:c>
      <x:c r="F35" s="22" t="str">
        <x:v>BR-12</x:v>
      </x:c>
      <x:c r="G35" s="22" t="str">
        <x:v>UC-11</x:v>
      </x:c>
      <x:c r="H35" s="22" t="str">
        <x:v>Send Appointment Notifications</x:v>
      </x:c>
      <x:c r="I35" s="22" t="str">
        <x:v>NFR-7.1</x:v>
      </x:c>
      <x:c r="J35" s="22" t="str">
        <x:v>HZ-06</x:v>
      </x:c>
      <x:c r="K35" s="22" t="str">
        <x:v>Data-driven JSON/CSV prototype test</x:v>
      </x:c>
      <x:c r="L35" s="22" t="str">
        <x:v>TC-047</x:v>
      </x:c>
      <x:c r="M35" s="22" t="str">
        <x:v>Provider retries an event</x:v>
      </x:c>
      <x:c r="N35" s="22" t="str">
        <x:v>M-07 DFD Level 1</x:v>
      </x:c>
      <x:c r="O35" s="22" t="str">
        <x:v>No duplicate logical event is produced</x:v>
      </x:c>
      <x:c r="P35" s="22" t="str">
        <x:v>All input-driven actions and output assertions matched.</x:v>
      </x:c>
      <x:c r="Q35" s="22" t="str">
        <x:v>PASS / PASS</x:v>
      </x:c>
      <x:c r="R35" s="22" t="str">
        <x:v>09_Data_Driven_Testing/results/json_all_comparison.csv; 09_Data_Driven_Testing/results/csv_all_comparison.csv</x:v>
      </x:c>
    </x:row>
    <x:row r="36" ht="53" customHeight="1">
      <x:c r="A36" s="22" t="str">
        <x:v>SC-13</x:v>
      </x:c>
      <x:c r="B36" s="22" t="str">
        <x:v>Unauthorized Appointment Access</x:v>
      </x:c>
      <x:c r="C36" s="22" t="str">
        <x:v>FR-12.1.3</x:v>
      </x:c>
      <x:c r="D36" s="22" t="str">
        <x:v>Restrict Administrative Reports</x:v>
      </x:c>
      <x:c r="E36" s="22" t="str">
        <x:v>BR-10</x:v>
      </x:c>
      <x:c r="F36" s="22" t="str">
        <x:v>BR-10</x:v>
      </x:c>
      <x:c r="G36" s="22" t="str">
        <x:v>UC-12</x:v>
      </x:c>
      <x:c r="H36" s="22" t="str">
        <x:v>Generate Reports and Review Audit Logs</x:v>
      </x:c>
      <x:c r="I36" s="22" t="str">
        <x:v>NFR-3.1; NFR-3.2</x:v>
      </x:c>
      <x:c r="J36" s="22" t="str">
        <x:v>HZ-02</x:v>
      </x:c>
      <x:c r="K36" s="22" t="str">
        <x:v>Data-driven JSON/CSV prototype test</x:v>
      </x:c>
      <x:c r="L36" s="22" t="str">
        <x:v>TC-050</x:v>
      </x:c>
      <x:c r="M36" s="22" t="str">
        <x:v>Patient requests an administrative report</x:v>
      </x:c>
      <x:c r="N36" s="22" t="str">
        <x:v>M-06 DFD Context</x:v>
      </x:c>
      <x:c r="O36" s="22" t="str">
        <x:v>Access denied</x:v>
      </x:c>
      <x:c r="P36" s="22" t="str">
        <x:v>All input-driven actions and output assertions matched.</x:v>
      </x:c>
      <x:c r="Q36" s="22" t="str">
        <x:v>PASS / PASS</x:v>
      </x:c>
      <x:c r="R36" s="22" t="str">
        <x:v>09_Data_Driven_Testing/results/json_all_comparison.csv; 09_Data_Driven_Testing/results/csv_all_comparison.csv</x:v>
      </x:c>
    </x:row>
    <x:row r="37" ht="53" customHeight="1">
      <x:c r="A37" s="22" t="str">
        <x:v>SC-13</x:v>
      </x:c>
      <x:c r="B37" s="22" t="str">
        <x:v>Unauthorized Appointment Access</x:v>
      </x:c>
      <x:c r="C37" s="22" t="str">
        <x:v>FR-5.1.1</x:v>
      </x:c>
      <x:c r="D37" s="22" t="str">
        <x:v>List My Appointments</x:v>
      </x:c>
      <x:c r="E37" s="22" t="str">
        <x:v>BR-10</x:v>
      </x:c>
      <x:c r="F37" s="22" t="str">
        <x:v>BR-10</x:v>
      </x:c>
      <x:c r="G37" s="22" t="str">
        <x:v>UC-05</x:v>
      </x:c>
      <x:c r="H37" s="22" t="str">
        <x:v>View My Appointments</x:v>
      </x:c>
      <x:c r="I37" s="22" t="str">
        <x:v>NFR-3.1; NFR-3.2</x:v>
      </x:c>
      <x:c r="J37" s="22" t="str">
        <x:v>HZ-02</x:v>
      </x:c>
      <x:c r="K37" s="22" t="str">
        <x:v>Data-driven JSON/CSV prototype test</x:v>
      </x:c>
      <x:c r="L37" s="22" t="str">
        <x:v>TC-020</x:v>
      </x:c>
      <x:c r="M37" s="22" t="str">
        <x:v>Read another patient’s appointment</x:v>
      </x:c>
      <x:c r="N37" s="22" t="str">
        <x:v>M-06 DFD Context</x:v>
      </x:c>
      <x:c r="O37" s="22" t="str">
        <x:v>Access is denied</x:v>
      </x:c>
      <x:c r="P37" s="22" t="str">
        <x:v>All input-driven actions and output assertions matched.</x:v>
      </x:c>
      <x:c r="Q37" s="22" t="str">
        <x:v>PASS / PASS</x:v>
      </x:c>
      <x:c r="R37" s="22" t="str">
        <x:v>09_Data_Driven_Testing/results/json_all_comparison.csv; 09_Data_Driven_Testing/results/csv_all_comparison.csv</x:v>
      </x:c>
    </x:row>
    <x:row r="38" ht="53" customHeight="1">
      <x:c r="A38" s="22" t="str">
        <x:v>SC-13</x:v>
      </x:c>
      <x:c r="B38" s="22" t="str">
        <x:v>Unauthorized Appointment Access</x:v>
      </x:c>
      <x:c r="C38" s="22" t="str">
        <x:v>FR-6.1.2</x:v>
      </x:c>
      <x:c r="D38" s="22" t="str">
        <x:v>Block Late or Unauthorized Cancellation</x:v>
      </x:c>
      <x:c r="E38" s="22" t="str">
        <x:v>BR-04</x:v>
      </x:c>
      <x:c r="F38" s="22" t="str">
        <x:v>BR-10</x:v>
      </x:c>
      <x:c r="G38" s="22" t="str">
        <x:v>UC-06</x:v>
      </x:c>
      <x:c r="H38" s="22" t="str">
        <x:v>Cancel an Appointment</x:v>
      </x:c>
      <x:c r="I38" s="22" t="str">
        <x:v>NFR-3.1; NFR-3.2</x:v>
      </x:c>
      <x:c r="J38" s="22" t="str">
        <x:v>HZ-02</x:v>
      </x:c>
      <x:c r="K38" s="22" t="str">
        <x:v>Data-driven JSON/CSV prototype test</x:v>
      </x:c>
      <x:c r="L38" s="22" t="str">
        <x:v>TC-025</x:v>
      </x:c>
      <x:c r="M38" s="22" t="str">
        <x:v>Unauthorized cancellation by another patient</x:v>
      </x:c>
      <x:c r="N38" s="22" t="str">
        <x:v>M-06 DFD Context</x:v>
      </x:c>
      <x:c r="O38" s="22" t="str">
        <x:v>Unauthorized action is denied</x:v>
      </x:c>
      <x:c r="P38" s="22" t="str">
        <x:v>All input-driven actions and output assertions matched.</x:v>
      </x:c>
      <x:c r="Q38" s="22" t="str">
        <x:v>PASS / PASS</x:v>
      </x:c>
      <x:c r="R38" s="22" t="str">
        <x:v>09_Data_Driven_Testing/results/json_all_comparison.csv; 09_Data_Driven_Testing/results/csv_all_comparison.csv</x:v>
      </x:c>
    </x:row>
    <x:row r="39" ht="53" customHeight="1">
      <x:c r="A39" s="22" t="str">
        <x:v>SC-14</x:v>
      </x:c>
      <x:c r="B39" s="22" t="str">
        <x:v>Administrator Reviews Appointment Counts</x:v>
      </x:c>
      <x:c r="C39" s="22" t="str">
        <x:v>FR-12.1.1</x:v>
      </x:c>
      <x:c r="D39" s="22" t="str">
        <x:v>Count Appointments by Status</x:v>
      </x:c>
      <x:c r="E39" s="22" t="str">
        <x:v>BR-11</x:v>
      </x:c>
      <x:c r="F39" s="22" t="str">
        <x:v>BR-10; BR-11</x:v>
      </x:c>
      <x:c r="G39" s="22" t="str">
        <x:v>UC-12</x:v>
      </x:c>
      <x:c r="H39" s="22" t="str">
        <x:v>Generate Reports and Review Audit Logs</x:v>
      </x:c>
      <x:c r="I39" s="22" t="str">
        <x:v>NFR-3.1; NFR-6.1</x:v>
      </x:c>
      <x:c r="J39" s="22" t="str">
        <x:v>HZ-02</x:v>
      </x:c>
      <x:c r="K39" s="22" t="str">
        <x:v>Data-driven JSON/CSV prototype test</x:v>
      </x:c>
      <x:c r="L39" s="22" t="str">
        <x:v>TC-048</x:v>
      </x:c>
      <x:c r="M39" s="22" t="str">
        <x:v>Correct appointment status summary</x:v>
      </x:c>
      <x:c r="N39" s="22" t="str">
        <x:v>M-07 DFD Level 1</x:v>
      </x:c>
      <x:c r="O39" s="22" t="str">
        <x:v>Totals match appointment records</x:v>
      </x:c>
      <x:c r="P39" s="22" t="str">
        <x:v>All input-driven actions and output assertions matched.</x:v>
      </x:c>
      <x:c r="Q39" s="22" t="str">
        <x:v>PASS / PASS</x:v>
      </x:c>
      <x:c r="R39" s="22" t="str">
        <x:v>09_Data_Driven_Testing/results/json_all_comparison.csv; 09_Data_Driven_Testing/results/csv_all_comparison.csv</x:v>
      </x:c>
    </x:row>
    <x:row r="40" ht="53" customHeight="1">
      <x:c r="A40" s="22" t="str">
        <x:v>SC-14</x:v>
      </x:c>
      <x:c r="B40" s="22" t="str">
        <x:v>Administrator Reviews Appointment Counts</x:v>
      </x:c>
      <x:c r="C40" s="22" t="str">
        <x:v>FR-12.1.2</x:v>
      </x:c>
      <x:c r="D40" s="22" t="str">
        <x:v>Retrieve Audit Records</x:v>
      </x:c>
      <x:c r="E40" s="22" t="str">
        <x:v>BR-11</x:v>
      </x:c>
      <x:c r="F40" s="22" t="str">
        <x:v>BR-10; BR-11</x:v>
      </x:c>
      <x:c r="G40" s="22" t="str">
        <x:v>UC-12</x:v>
      </x:c>
      <x:c r="H40" s="22" t="str">
        <x:v>Generate Reports and Review Audit Logs</x:v>
      </x:c>
      <x:c r="I40" s="22" t="str">
        <x:v>NFR-3.1; NFR-6.1</x:v>
      </x:c>
      <x:c r="J40" s="22" t="str">
        <x:v>HZ-02</x:v>
      </x:c>
      <x:c r="K40" s="22" t="str">
        <x:v>Data-driven JSON/CSV prototype test</x:v>
      </x:c>
      <x:c r="L40" s="22" t="str">
        <x:v>TC-049</x:v>
      </x:c>
      <x:c r="M40" s="22" t="str">
        <x:v>Audit fields are present</x:v>
      </x:c>
      <x:c r="N40" s="22" t="str">
        <x:v>M-07 DFD Level 1</x:v>
      </x:c>
      <x:c r="O40" s="22" t="str">
        <x:v>Actor, action and timestamp are present</x:v>
      </x:c>
      <x:c r="P40" s="22" t="str">
        <x:v>All input-driven actions and output assertions matched.</x:v>
      </x:c>
      <x:c r="Q40" s="22" t="str">
        <x:v>PASS / PASS</x:v>
      </x:c>
      <x:c r="R40" s="22" t="str">
        <x:v>09_Data_Driven_Testing/results/json_all_comparison.csv; 09_Data_Driven_Testing/results/csv_all_comparison.csv</x:v>
      </x:c>
    </x:row>
    <x:row r="41" ht="53" customHeight="1">
      <x:c r="A41" s="22" t="str">
        <x:v>SC-15</x:v>
      </x:c>
      <x:c r="B41" s="22" t="str">
        <x:v>Patient Registration and Secure Sign-in</x:v>
      </x:c>
      <x:c r="C41" s="22" t="str">
        <x:v>FR-1.1.1</x:v>
      </x:c>
      <x:c r="D41" s="22" t="str">
        <x:v>Unique Patient Registration</x:v>
      </x:c>
      <x:c r="E41" s="22" t="str">
        <x:v>BR-01</x:v>
      </x:c>
      <x:c r="F41" s="22" t="str">
        <x:v>BR-01</x:v>
      </x:c>
      <x:c r="G41" s="22" t="str">
        <x:v>UC-01</x:v>
      </x:c>
      <x:c r="H41" s="22" t="str">
        <x:v>Register and Sign In</x:v>
      </x:c>
      <x:c r="I41" s="22" t="str">
        <x:v>NFR-3.1; NFR-3.2; NFR-4.1</x:v>
      </x:c>
      <x:c r="J41" s="22" t="str">
        <x:v>HZ-02</x:v>
      </x:c>
      <x:c r="K41" s="22" t="str">
        <x:v>Data-driven JSON/CSV prototype test</x:v>
      </x:c>
      <x:c r="L41" s="22" t="str">
        <x:v>TC-001</x:v>
      </x:c>
      <x:c r="M41" s="22" t="str">
        <x:v>Valid registration</x:v>
      </x:c>
      <x:c r="N41" s="22" t="str">
        <x:v>M-01 System Use Case Diagram</x:v>
      </x:c>
      <x:c r="O41" s="22" t="str">
        <x:v>Patient account is created</x:v>
      </x:c>
      <x:c r="P41" s="22" t="str">
        <x:v>All input-driven actions and output assertions matched.</x:v>
      </x:c>
      <x:c r="Q41" s="22" t="str">
        <x:v>PASS / PASS</x:v>
      </x:c>
      <x:c r="R41" s="22" t="str">
        <x:v>09_Data_Driven_Testing/results/json_all_comparison.csv; 09_Data_Driven_Testing/results/csv_all_comparison.csv</x:v>
      </x:c>
    </x:row>
    <x:row r="42" ht="53" customHeight="1">
      <x:c r="A42" s="22" t="str">
        <x:v>SC-15</x:v>
      </x:c>
      <x:c r="B42" s="22" t="str">
        <x:v>Patient Registration and Secure Sign-in</x:v>
      </x:c>
      <x:c r="C42" s="22" t="str">
        <x:v>FR-1.1.2</x:v>
      </x:c>
      <x:c r="D42" s="22" t="str">
        <x:v>Validate Registration Details</x:v>
      </x:c>
      <x:c r="E42" s="22" t="str">
        <x:v>BR-01</x:v>
      </x:c>
      <x:c r="F42" s="22" t="str">
        <x:v>BR-01</x:v>
      </x:c>
      <x:c r="G42" s="22" t="str">
        <x:v>UC-01</x:v>
      </x:c>
      <x:c r="H42" s="22" t="str">
        <x:v>Register and Sign In</x:v>
      </x:c>
      <x:c r="I42" s="22" t="str">
        <x:v>NFR-3.1; NFR-3.2; NFR-4.1</x:v>
      </x:c>
      <x:c r="J42" s="22" t="str">
        <x:v>HZ-02</x:v>
      </x:c>
      <x:c r="K42" s="22" t="str">
        <x:v>Data-driven JSON/CSV prototype test</x:v>
      </x:c>
      <x:c r="L42" s="22" t="str">
        <x:v>TC-002</x:v>
      </x:c>
      <x:c r="M42" s="22" t="str">
        <x:v>Missing date of birth</x:v>
      </x:c>
      <x:c r="N42" s="22" t="str">
        <x:v>M-01 System Use Case Diagram</x:v>
      </x:c>
      <x:c r="O42" s="22" t="str">
        <x:v>Registration is rejected with a missing-field indication</x:v>
      </x:c>
      <x:c r="P42" s="22" t="str">
        <x:v>All input-driven actions and output assertions matched.</x:v>
      </x:c>
      <x:c r="Q42" s="22" t="str">
        <x:v>PASS / PASS</x:v>
      </x:c>
      <x:c r="R42" s="22" t="str">
        <x:v>09_Data_Driven_Testing/results/json_all_comparison.csv; 09_Data_Driven_Testing/results/csv_all_comparison.csv</x:v>
      </x:c>
    </x:row>
    <x:row r="43" ht="53" customHeight="1">
      <x:c r="A43" s="22" t="str">
        <x:v>SC-15</x:v>
      </x:c>
      <x:c r="B43" s="22" t="str">
        <x:v>Patient Registration and Secure Sign-in</x:v>
      </x:c>
      <x:c r="C43" s="22" t="str">
        <x:v>FR-1.1.2</x:v>
      </x:c>
      <x:c r="D43" s="22" t="str">
        <x:v>Validate Registration Details</x:v>
      </x:c>
      <x:c r="E43" s="22" t="str">
        <x:v>BR-01</x:v>
      </x:c>
      <x:c r="F43" s="22" t="str">
        <x:v>BR-01</x:v>
      </x:c>
      <x:c r="G43" s="22" t="str">
        <x:v>UC-01</x:v>
      </x:c>
      <x:c r="H43" s="22" t="str">
        <x:v>Register and Sign In</x:v>
      </x:c>
      <x:c r="I43" s="22" t="str">
        <x:v>NFR-3.1; NFR-3.2; NFR-4.1</x:v>
      </x:c>
      <x:c r="J43" s="22" t="str">
        <x:v>HZ-02</x:v>
      </x:c>
      <x:c r="K43" s="22" t="str">
        <x:v>Data-driven JSON/CSV prototype test</x:v>
      </x:c>
      <x:c r="L43" s="22" t="str">
        <x:v>TC-003</x:v>
      </x:c>
      <x:c r="M43" s="22" t="str">
        <x:v>Duplicate phone number</x:v>
      </x:c>
      <x:c r="N43" s="22" t="str">
        <x:v>M-01 System Use Case Diagram</x:v>
      </x:c>
      <x:c r="O43" s="22" t="str">
        <x:v>Duplicate account creation is rejected</x:v>
      </x:c>
      <x:c r="P43" s="22" t="str">
        <x:v>All input-driven actions and output assertions matched.</x:v>
      </x:c>
      <x:c r="Q43" s="22" t="str">
        <x:v>PASS / PASS</x:v>
      </x:c>
      <x:c r="R43" s="22" t="str">
        <x:v>09_Data_Driven_Testing/results/json_all_comparison.csv; 09_Data_Driven_Testing/results/csv_all_comparison.csv</x:v>
      </x:c>
    </x:row>
    <x:row r="44" ht="53" customHeight="1">
      <x:c r="A44" s="22" t="str">
        <x:v>SC-15</x:v>
      </x:c>
      <x:c r="B44" s="22" t="str">
        <x:v>Patient Registration and Secure Sign-in</x:v>
      </x:c>
      <x:c r="C44" s="22" t="str">
        <x:v>FR-1.1.3</x:v>
      </x:c>
      <x:c r="D44" s="22" t="str">
        <x:v>Role-Based Sign-In</x:v>
      </x:c>
      <x:c r="E44" s="22" t="str">
        <x:v>BR-01</x:v>
      </x:c>
      <x:c r="F44" s="22" t="str">
        <x:v>BR-01</x:v>
      </x:c>
      <x:c r="G44" s="22" t="str">
        <x:v>UC-01</x:v>
      </x:c>
      <x:c r="H44" s="22" t="str">
        <x:v>Register and Sign In</x:v>
      </x:c>
      <x:c r="I44" s="22" t="str">
        <x:v>NFR-3.1; NFR-3.2; NFR-4.1</x:v>
      </x:c>
      <x:c r="J44" s="22" t="str">
        <x:v>HZ-02</x:v>
      </x:c>
      <x:c r="K44" s="22" t="str">
        <x:v>Data-driven JSON/CSV prototype test</x:v>
      </x:c>
      <x:c r="L44" s="22" t="str">
        <x:v>TC-004</x:v>
      </x:c>
      <x:c r="M44" s="22" t="str">
        <x:v>Valid sign-in</x:v>
      </x:c>
      <x:c r="N44" s="22" t="str">
        <x:v>M-01 System Use Case Diagram</x:v>
      </x:c>
      <x:c r="O44" s="22" t="str">
        <x:v>A session with the correct role is created</x:v>
      </x:c>
      <x:c r="P44" s="22" t="str">
        <x:v>All input-driven actions and output assertions matched.</x:v>
      </x:c>
      <x:c r="Q44" s="22" t="str">
        <x:v>PASS / PASS</x:v>
      </x:c>
      <x:c r="R44" s="22" t="str">
        <x:v>09_Data_Driven_Testing/results/json_all_comparison.csv; 09_Data_Driven_Testing/results/csv_all_comparison.csv</x:v>
      </x:c>
    </x:row>
    <x:row r="45" ht="53" customHeight="1">
      <x:c r="A45" s="22" t="str">
        <x:v>SC-15</x:v>
      </x:c>
      <x:c r="B45" s="22" t="str">
        <x:v>Patient Registration and Secure Sign-in</x:v>
      </x:c>
      <x:c r="C45" s="22" t="str">
        <x:v>FR-1.1.3</x:v>
      </x:c>
      <x:c r="D45" s="22" t="str">
        <x:v>Role-Based Sign-In</x:v>
      </x:c>
      <x:c r="E45" s="22" t="str">
        <x:v>BR-01</x:v>
      </x:c>
      <x:c r="F45" s="22" t="str">
        <x:v>BR-01</x:v>
      </x:c>
      <x:c r="G45" s="22" t="str">
        <x:v>UC-01</x:v>
      </x:c>
      <x:c r="H45" s="22" t="str">
        <x:v>Register and Sign In</x:v>
      </x:c>
      <x:c r="I45" s="22" t="str">
        <x:v>NFR-3.1; NFR-3.2; NFR-4.1</x:v>
      </x:c>
      <x:c r="J45" s="22" t="str">
        <x:v>HZ-02</x:v>
      </x:c>
      <x:c r="K45" s="22" t="str">
        <x:v>Data-driven JSON/CSV prototype test</x:v>
      </x:c>
      <x:c r="L45" s="22" t="str">
        <x:v>TC-005</x:v>
      </x:c>
      <x:c r="M45" s="22" t="str">
        <x:v>Incorrect password</x:v>
      </x:c>
      <x:c r="N45" s="22" t="str">
        <x:v>M-01 System Use Case Diagram</x:v>
      </x:c>
      <x:c r="O45" s="22" t="str">
        <x:v>No session is created</x:v>
      </x:c>
      <x:c r="P45" s="22" t="str">
        <x:v>All input-driven actions and output assertions matched.</x:v>
      </x:c>
      <x:c r="Q45" s="22" t="str">
        <x:v>PASS / PASS</x:v>
      </x:c>
      <x:c r="R45" s="22" t="str">
        <x:v>09_Data_Driven_Testing/results/json_all_comparison.csv; 09_Data_Driven_Testing/results/csv_all_comparison.csv</x:v>
      </x:c>
    </x:row>
    <x:row r="46" ht="53" customHeight="1">
      <x:c r="A46" s="22" t="str">
        <x:v>SC-16</x:v>
      </x:c>
      <x:c r="B46" s="22" t="str">
        <x:v>Patient Views and Updates Own Profile</x:v>
      </x:c>
      <x:c r="C46" s="22" t="str">
        <x:v>FR-2.1.1</x:v>
      </x:c>
      <x:c r="D46" s="22" t="str">
        <x:v>View Own Profile</x:v>
      </x:c>
      <x:c r="E46" s="22" t="str">
        <x:v>BR-10</x:v>
      </x:c>
      <x:c r="F46" s="22" t="str">
        <x:v>BR-01; BR-10</x:v>
      </x:c>
      <x:c r="G46" s="22" t="str">
        <x:v>UC-02</x:v>
      </x:c>
      <x:c r="H46" s="22" t="str">
        <x:v>Manage Patient Profile</x:v>
      </x:c>
      <x:c r="I46" s="22" t="str">
        <x:v>NFR-3.1</x:v>
      </x:c>
      <x:c r="J46" s="22" t="str">
        <x:v>HZ-02</x:v>
      </x:c>
      <x:c r="K46" s="22" t="str">
        <x:v>Data-driven JSON/CSV prototype test</x:v>
      </x:c>
      <x:c r="L46" s="22" t="str">
        <x:v>TC-006</x:v>
      </x:c>
      <x:c r="M46" s="22" t="str">
        <x:v>View own profile</x:v>
      </x:c>
      <x:c r="N46" s="22" t="str">
        <x:v>M-01 System Use Case Diagram</x:v>
      </x:c>
      <x:c r="O46" s="22" t="str">
        <x:v>Only the authenticated patient’s information is displayed</x:v>
      </x:c>
      <x:c r="P46" s="22" t="str">
        <x:v>All input-driven actions and output assertions matched.</x:v>
      </x:c>
      <x:c r="Q46" s="22" t="str">
        <x:v>PASS / PASS</x:v>
      </x:c>
      <x:c r="R46" s="22" t="str">
        <x:v>09_Data_Driven_Testing/results/json_all_comparison.csv; 09_Data_Driven_Testing/results/csv_all_comparison.csv</x:v>
      </x:c>
    </x:row>
    <x:row r="47" ht="53" customHeight="1">
      <x:c r="A47" s="22" t="str">
        <x:v>SC-16</x:v>
      </x:c>
      <x:c r="B47" s="22" t="str">
        <x:v>Patient Views and Updates Own Profile</x:v>
      </x:c>
      <x:c r="C47" s="22" t="str">
        <x:v>FR-2.1.2</x:v>
      </x:c>
      <x:c r="D47" s="22" t="str">
        <x:v>Update Own Profile</x:v>
      </x:c>
      <x:c r="E47" s="22" t="str">
        <x:v>BR-10</x:v>
      </x:c>
      <x:c r="F47" s="22" t="str">
        <x:v>BR-01; BR-10</x:v>
      </x:c>
      <x:c r="G47" s="22" t="str">
        <x:v>UC-02</x:v>
      </x:c>
      <x:c r="H47" s="22" t="str">
        <x:v>Manage Patient Profile</x:v>
      </x:c>
      <x:c r="I47" s="22" t="str">
        <x:v>NFR-3.1</x:v>
      </x:c>
      <x:c r="J47" s="22" t="str">
        <x:v>HZ-02</x:v>
      </x:c>
      <x:c r="K47" s="22" t="str">
        <x:v>Data-driven JSON/CSV prototype test</x:v>
      </x:c>
      <x:c r="L47" s="22" t="str">
        <x:v>TC-007</x:v>
      </x:c>
      <x:c r="M47" s="22" t="str">
        <x:v>Update address</x:v>
      </x:c>
      <x:c r="N47" s="22" t="str">
        <x:v>M-01 System Use Case Diagram</x:v>
      </x:c>
      <x:c r="O47" s="22" t="str">
        <x:v>New address is saved</x:v>
      </x:c>
      <x:c r="P47" s="22" t="str">
        <x:v>All input-driven actions and output assertions matched.</x:v>
      </x:c>
      <x:c r="Q47" s="22" t="str">
        <x:v>PASS / PASS</x:v>
      </x:c>
      <x:c r="R47" s="22" t="str">
        <x:v>09_Data_Driven_Testing/results/json_all_comparison.csv; 09_Data_Driven_Testing/results/csv_all_comparison.csv</x:v>
      </x:c>
    </x:row>
    <x:row r="48" ht="53" customHeight="1">
      <x:c r="A48" s="22" t="str">
        <x:v>SC-16</x:v>
      </x:c>
      <x:c r="B48" s="22" t="str">
        <x:v>Patient Views and Updates Own Profile</x:v>
      </x:c>
      <x:c r="C48" s="22" t="str">
        <x:v>FR-2.1.2</x:v>
      </x:c>
      <x:c r="D48" s="22" t="str">
        <x:v>Update Own Profile</x:v>
      </x:c>
      <x:c r="E48" s="22" t="str">
        <x:v>BR-10</x:v>
      </x:c>
      <x:c r="F48" s="22" t="str">
        <x:v>BR-01; BR-10</x:v>
      </x:c>
      <x:c r="G48" s="22" t="str">
        <x:v>UC-02</x:v>
      </x:c>
      <x:c r="H48" s="22" t="str">
        <x:v>Manage Patient Profile</x:v>
      </x:c>
      <x:c r="I48" s="22" t="str">
        <x:v>NFR-3.1</x:v>
      </x:c>
      <x:c r="J48" s="22" t="str">
        <x:v>HZ-02</x:v>
      </x:c>
      <x:c r="K48" s="22" t="str">
        <x:v>Data-driven JSON/CSV prototype test</x:v>
      </x:c>
      <x:c r="L48" s="22" t="str">
        <x:v>TC-008</x:v>
      </x:c>
      <x:c r="M48" s="22" t="str">
        <x:v>Invalid contact information</x:v>
      </x:c>
      <x:c r="N48" s="22" t="str">
        <x:v>M-01 System Use Case Diagram</x:v>
      </x:c>
      <x:c r="O48" s="22" t="str">
        <x:v>Profile is unchanged</x:v>
      </x:c>
      <x:c r="P48" s="22" t="str">
        <x:v>All input-driven actions and output assertions matched.</x:v>
      </x:c>
      <x:c r="Q48" s="22" t="str">
        <x:v>PASS / PASS</x:v>
      </x:c>
      <x:c r="R48" s="22" t="str">
        <x:v>09_Data_Driven_Testing/results/json_all_comparison.csv; 09_Data_Driven_Testing/results/csv_all_comparison.csv</x:v>
      </x:c>
    </x:row>
    <x:row r="49" ht="53" customHeight="1">
      <x:c r="A49" s="22" t="str">
        <x:v>SC-17</x:v>
      </x:c>
      <x:c r="B49" s="22" t="str">
        <x:v>Patient Reviews a Booking and Privacy Boundary</x:v>
      </x:c>
      <x:c r="C49" s="22" t="str">
        <x:v>FR-5.1.1</x:v>
      </x:c>
      <x:c r="D49" s="22" t="str">
        <x:v>List My Appointments</x:v>
      </x:c>
      <x:c r="E49" s="22" t="str">
        <x:v>BR-10</x:v>
      </x:c>
      <x:c r="F49" s="22" t="str">
        <x:v>BR-10</x:v>
      </x:c>
      <x:c r="G49" s="22" t="str">
        <x:v>UC-05</x:v>
      </x:c>
      <x:c r="H49" s="22" t="str">
        <x:v>View My Appointments</x:v>
      </x:c>
      <x:c r="I49" s="22" t="str">
        <x:v>NFR-3.1</x:v>
      </x:c>
      <x:c r="J49" s="22" t="str">
        <x:v>HZ-02</x:v>
      </x:c>
      <x:c r="K49" s="22" t="str">
        <x:v>Data-driven JSON/CSV prototype test</x:v>
      </x:c>
      <x:c r="L49" s="22" t="str">
        <x:v>TC-019</x:v>
      </x:c>
      <x:c r="M49" s="22" t="str">
        <x:v>List own appointments</x:v>
      </x:c>
      <x:c r="N49" s="22" t="str">
        <x:v>M-01 System Use Case Diagram</x:v>
      </x:c>
      <x:c r="O49" s="22" t="str">
        <x:v>Only the authenticated patient’s appointments appear</x:v>
      </x:c>
      <x:c r="P49" s="22" t="str">
        <x:v>All input-driven actions and output assertions matched.</x:v>
      </x:c>
      <x:c r="Q49" s="22" t="str">
        <x:v>PASS / PASS</x:v>
      </x:c>
      <x:c r="R49" s="22" t="str">
        <x:v>09_Data_Driven_Testing/results/json_all_comparison.csv; 09_Data_Driven_Testing/results/csv_all_comparison.csv</x:v>
      </x:c>
    </x:row>
    <x:row r="50" ht="53" customHeight="1">
      <x:c r="A50" s="22" t="str">
        <x:v>SC-17</x:v>
      </x:c>
      <x:c r="B50" s="22" t="str">
        <x:v>Patient Reviews a Booking and Privacy Boundary</x:v>
      </x:c>
      <x:c r="C50" s="22" t="str">
        <x:v>FR-5.1.2</x:v>
      </x:c>
      <x:c r="D50" s="22" t="str">
        <x:v>Display Appointment Details</x:v>
      </x:c>
      <x:c r="E50" s="22" t="str">
        <x:v>BR-10</x:v>
      </x:c>
      <x:c r="F50" s="22" t="str">
        <x:v>BR-10</x:v>
      </x:c>
      <x:c r="G50" s="22" t="str">
        <x:v>UC-05</x:v>
      </x:c>
      <x:c r="H50" s="22" t="str">
        <x:v>View My Appointments</x:v>
      </x:c>
      <x:c r="I50" s="22" t="str">
        <x:v>NFR-3.1</x:v>
      </x:c>
      <x:c r="J50" s="22" t="str">
        <x:v>HZ-02</x:v>
      </x:c>
      <x:c r="K50" s="22" t="str">
        <x:v>Data-driven JSON/CSV prototype test</x:v>
      </x:c>
      <x:c r="L50" s="22" t="str">
        <x:v>TC-021</x:v>
      </x:c>
      <x:c r="M50" s="22" t="str">
        <x:v>View booking details</x:v>
      </x:c>
      <x:c r="N50" s="22" t="str">
        <x:v>M-01 System Use Case Diagram</x:v>
      </x:c>
      <x:c r="O50" s="22" t="str">
        <x:v>Code, specialty, doctor, time and status are displayed</x:v>
      </x:c>
      <x:c r="P50" s="22" t="str">
        <x:v>All input-driven actions and output assertions matched.</x:v>
      </x:c>
      <x:c r="Q50" s="22" t="str">
        <x:v>PASS / PASS</x:v>
      </x:c>
      <x:c r="R50" s="22" t="str">
        <x:v>09_Data_Driven_Testing/results/json_all_comparison.csv; 09_Data_Driven_Testing/results/csv_all_comparison.csv</x:v>
      </x:c>
    </x:row>
    <x:row r="51" ht="53" customHeight="1">
      <x:c r="A51" s="22" t="str">
        <x:v>SC-18</x:v>
      </x:c>
      <x:c r="B51" s="22" t="str">
        <x:v>Administrator Creates and Audits Physician Slots</x:v>
      </x:c>
      <x:c r="C51" s="22" t="str">
        <x:v>FR-10.1.1</x:v>
      </x:c>
      <x:c r="D51" s="22" t="str">
        <x:v>Prevent Overlapping Physician Slots</x:v>
      </x:c>
      <x:c r="E51" s="22" t="str">
        <x:v>BR-08</x:v>
      </x:c>
      <x:c r="F51" s="22" t="str">
        <x:v>BR-08; BR-09; BR-11</x:v>
      </x:c>
      <x:c r="G51" s="22" t="str">
        <x:v>UC-10</x:v>
      </x:c>
      <x:c r="H51" s="22" t="str">
        <x:v>Manage Physician Schedules</x:v>
      </x:c>
      <x:c r="I51" s="22" t="str">
        <x:v>NFR-6.1</x:v>
      </x:c>
      <x:c r="J51" s="22" t="str">
        <x:v>HZ-04</x:v>
      </x:c>
      <x:c r="K51" s="22" t="str">
        <x:v>Data-driven JSON/CSV prototype test</x:v>
      </x:c>
      <x:c r="L51" s="22" t="str">
        <x:v>TC-040</x:v>
      </x:c>
      <x:c r="M51" s="22" t="str">
        <x:v>Create an eligible slot</x:v>
      </x:c>
      <x:c r="N51" s="22" t="str">
        <x:v>M-05 Appointment State Machine</x:v>
      </x:c>
      <x:c r="O51" s="22" t="str">
        <x:v>Slot is created</x:v>
      </x:c>
      <x:c r="P51" s="22" t="str">
        <x:v>All input-driven actions and output assertions matched.</x:v>
      </x:c>
      <x:c r="Q51" s="22" t="str">
        <x:v>PASS / PASS</x:v>
      </x:c>
      <x:c r="R51" s="22" t="str">
        <x:v>09_Data_Driven_Testing/results/json_all_comparison.csv; 09_Data_Driven_Testing/results/csv_all_comparison.csv</x:v>
      </x:c>
    </x:row>
    <x:row r="52" ht="53" customHeight="1">
      <x:c r="A52" s="22" t="str">
        <x:v>SC-18</x:v>
      </x:c>
      <x:c r="B52" s="22" t="str">
        <x:v>Administrator Creates and Audits Physician Slots</x:v>
      </x:c>
      <x:c r="C52" s="22" t="str">
        <x:v>FR-10.1.1</x:v>
      </x:c>
      <x:c r="D52" s="22" t="str">
        <x:v>Prevent Overlapping Physician Slots</x:v>
      </x:c>
      <x:c r="E52" s="22" t="str">
        <x:v>BR-08</x:v>
      </x:c>
      <x:c r="F52" s="22" t="str">
        <x:v>BR-08; BR-09; BR-11</x:v>
      </x:c>
      <x:c r="G52" s="22" t="str">
        <x:v>UC-10</x:v>
      </x:c>
      <x:c r="H52" s="22" t="str">
        <x:v>Manage Physician Schedules</x:v>
      </x:c>
      <x:c r="I52" s="22" t="str">
        <x:v>NFR-6.1</x:v>
      </x:c>
      <x:c r="J52" s="22" t="str">
        <x:v>HZ-04</x:v>
      </x:c>
      <x:c r="K52" s="22" t="str">
        <x:v>Data-driven JSON/CSV prototype test</x:v>
      </x:c>
      <x:c r="L52" s="22" t="str">
        <x:v>TC-041</x:v>
      </x:c>
      <x:c r="M52" s="22" t="str">
        <x:v>Create overlapping doctor slot</x:v>
      </x:c>
      <x:c r="N52" s="22" t="str">
        <x:v>M-05 Appointment State Machine</x:v>
      </x:c>
      <x:c r="O52" s="22" t="str">
        <x:v>Overlapping slot is rejected</x:v>
      </x:c>
      <x:c r="P52" s="22" t="str">
        <x:v>All input-driven actions and output assertions matched.</x:v>
      </x:c>
      <x:c r="Q52" s="22" t="str">
        <x:v>PASS / PASS</x:v>
      </x:c>
      <x:c r="R52" s="22" t="str">
        <x:v>09_Data_Driven_Testing/results/json_all_comparison.csv; 09_Data_Driven_Testing/results/csv_all_comparison.csv</x:v>
      </x:c>
    </x:row>
    <x:row r="53" ht="53" customHeight="1">
      <x:c r="A53" s="22" t="str">
        <x:v>SC-18</x:v>
      </x:c>
      <x:c r="B53" s="22" t="str">
        <x:v>Administrator Creates and Audits Physician Slots</x:v>
      </x:c>
      <x:c r="C53" s="22" t="str">
        <x:v>FR-10.1.3</x:v>
      </x:c>
      <x:c r="D53" s="22" t="str">
        <x:v>Audit Schedule Changes</x:v>
      </x:c>
      <x:c r="E53" s="22" t="str">
        <x:v>BR-11</x:v>
      </x:c>
      <x:c r="F53" s="22" t="str">
        <x:v>BR-08; BR-09; BR-11</x:v>
      </x:c>
      <x:c r="G53" s="22" t="str">
        <x:v>UC-10</x:v>
      </x:c>
      <x:c r="H53" s="22" t="str">
        <x:v>Manage Physician Schedules</x:v>
      </x:c>
      <x:c r="I53" s="22" t="str">
        <x:v>NFR-6.1</x:v>
      </x:c>
      <x:c r="J53" s="22" t="str">
        <x:v>HZ-04</x:v>
      </x:c>
      <x:c r="K53" s="22" t="str">
        <x:v>Data-driven JSON/CSV prototype test</x:v>
      </x:c>
      <x:c r="L53" s="22" t="str">
        <x:v>TC-043</x:v>
      </x:c>
      <x:c r="M53" s="22" t="str">
        <x:v>Audit physician schedule update</x:v>
      </x:c>
      <x:c r="N53" s="22" t="str">
        <x:v>M-05 Appointment State Machine</x:v>
      </x:c>
      <x:c r="O53" s="22" t="str">
        <x:v>Actor, time and before/after values appear</x:v>
      </x:c>
      <x:c r="P53" s="22" t="str">
        <x:v>All input-driven actions and output assertions matched.</x:v>
      </x:c>
      <x:c r="Q53" s="22" t="str">
        <x:v>PASS / PASS</x:v>
      </x:c>
      <x:c r="R53" s="22" t="str">
        <x:v>09_Data_Driven_Testing/results/json_all_comparison.csv; 09_Data_Driven_Testing/results/csv_all_comparison.csv</x:v>
      </x:c>
    </x:row>
  </x:sheetData>
  <x:mergeCells>
    <x:mergeCell ref="A1:H1"/>
    <x:mergeCell ref="A2:J2"/>
  </x:mergeCells>
  <x:pageMargins left="0.7" right="0.7" top="0.75" bottom="0.75" header="0.3" footer="0.3"/>
  <x:tableParts count="1">
    <x:tablePart xmlns:r="http://schemas.openxmlformats.org/officeDocument/2006/relationships" r:id="R4c3353eff1804c67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5" customHeight="1">
      <x:c r="A1" s="4" t="str">
        <x:v>HOAS | 11_Dashboard</x:v>
      </x:c>
      <x:c r="B1" s="4"/>
      <x:c r="C1" s="4"/>
      <x:c r="D1" s="4"/>
      <x:c r="E1" s="4"/>
      <x:c r="F1" s="4"/>
    </x:row>
    <x:row r="2" ht="30" customHeight="1">
      <x:c r="A2" s="10" t="str">
        <x:v>OVERVIEW | case-study data and prototype-only execution results</x:v>
      </x:c>
      <x:c r="B2" s="10"/>
      <x:c r="C2" s="10"/>
      <x:c r="D2" s="10"/>
      <x:c r="E2" s="10"/>
      <x:c r="F2" s="10"/>
    </x:row>
    <x:row r="3" ht="38" customHeight="1">
      <x:c r="A3" s="27" t="str">
        <x:v>Metric</x:v>
      </x:c>
      <x:c r="B3" s="27" t="str">
        <x:v>Formula value</x:v>
      </x:c>
      <x:c r="C3" s="27" t="str">
        <x:v>Status / Caution</x:v>
      </x:c>
      <x:c r="D3" s="27"/>
      <x:c r="E3" s="27" t="str">
        <x:v>Priority</x:v>
      </x:c>
      <x:c r="F3" s="27" t="str">
        <x:v>Count</x:v>
      </x:c>
    </x:row>
    <x:row r="4" ht="30" customHeight="1">
      <x:c r="A4" s="22" t="str">
        <x:v>Functional requirements</x:v>
      </x:c>
      <x:c r="B4" s="22" t="n">
        <x:f>COUNTA('03_Requirements'!A4:A200)</x:f>
        <x:v>30</x:v>
      </x:c>
      <x:c r="C4" s="22" t="str">
        <x:v>Count unique FR IDs, all Proposed</x:v>
      </x:c>
      <x:c r="D4" s="22"/>
      <x:c r="E4" s="22" t="str">
        <x:v>Must</x:v>
      </x:c>
      <x:c r="F4" s="22" t="n">
        <x:f>COUNTIF('03_Requirements'!E4:E100,E4)</x:f>
        <x:v>23</x:v>
      </x:c>
    </x:row>
    <x:row r="5" ht="30" customHeight="1">
      <x:c r="A5" s="22" t="str">
        <x:v>Non-functional requirements</x:v>
      </x:c>
      <x:c r="B5" s="22" t="n">
        <x:f>COUNTA('06_NFR'!A4:A200)</x:f>
        <x:v>10</x:v>
      </x:c>
      <x:c r="C5" s="22" t="str">
        <x:v>Several goals unverified in production</x:v>
      </x:c>
      <x:c r="D5" s="22"/>
      <x:c r="E5" s="22" t="str">
        <x:v>Should</x:v>
      </x:c>
      <x:c r="F5" s="22" t="n">
        <x:f>COUNTIF('03_Requirements'!E4:E100,E5)</x:f>
        <x:v>7</x:v>
      </x:c>
    </x:row>
    <x:row r="6" ht="30" customHeight="1">
      <x:c r="A6" s="22" t="str">
        <x:v>Use cases</x:v>
      </x:c>
      <x:c r="B6" s="22" t="n">
        <x:f>COUNTA('05_UseCases'!A4:A200)</x:f>
        <x:v>12</x:v>
      </x:c>
      <x:c r="C6" s="22" t="str">
        <x:v>Complete scenarios in DOCX</x:v>
      </x:c>
      <x:c r="D6" s="22"/>
      <x:c r="E6" s="22" t="str">
        <x:v>Could</x:v>
      </x:c>
      <x:c r="F6" s="22" t="n">
        <x:f>COUNTIF('03_Requirements'!E4:E100,E6)</x:f>
        <x:v>0</x:v>
      </x:c>
    </x:row>
    <x:row r="7" ht="30" customHeight="1">
      <x:c r="A7" s="22" t="str">
        <x:v>Designed test cases</x:v>
      </x:c>
      <x:c r="B7" s="22" t="n">
        <x:f>COUNTA('09_TestCase_Activity'!A4:A200)</x:f>
        <x:v>50</x:v>
      </x:c>
      <x:c r="C7" s="22" t="str">
        <x:v>Designed count is not passed count</x:v>
      </x:c>
      <x:c r="D7" s="22"/>
      <x:c r="E7" s="22"/>
      <x:c r="F7" s="22"/>
    </x:row>
    <x:row r="8" ht="30" customHeight="1">
      <x:c r="A8" s="22" t="str">
        <x:v>Prototype data-driven cases passed</x:v>
      </x:c>
      <x:c r="B8" s="22" t="n">
        <x:f>COUNTIF('08_Test'!K4:K200,"PASS / PASS")</x:f>
        <x:v>50</x:v>
      </x:c>
      <x:c r="C8" s="22" t="str">
        <x:v>JSON+CSV prototype only; not hospital deployment, NFR or production evidence</x:v>
      </x:c>
      <x:c r="D8" s="22"/>
      <x:c r="E8" s="22"/>
      <x:c r="F8" s="22"/>
    </x:row>
    <x:row r="9" ht="30" customHeight="1">
      <x:c r="A9" s="22" t="str">
        <x:v>FR with linked designed TCs</x:v>
      </x:c>
      <x:c r="B9" s="22" t="n">
        <x:f>COUNTIF('20_Req_Test_Trace'!F4:F33,"Designed")</x:f>
        <x:v>30</x:v>
      </x:c>
      <x:c r="C9" s="22" t="str">
        <x:v>This is trace-link coverage only</x:v>
      </x:c>
      <x:c r="D9" s="22"/>
      <x:c r="E9" s="22"/>
      <x:c r="F9" s="22"/>
    </x:row>
    <x:row r="10" ht="30" customHeight="1">
      <x:c r="A10" s="22" t="str">
        <x:v>FR design coverage</x:v>
      </x:c>
      <x:c r="B10" s="22" t="n">
        <x:f>IFERROR(B9/B4,0)</x:f>
        <x:v>1</x:v>
      </x:c>
      <x:c r="C10" s="22" t="str">
        <x:v>Planned/Linked ratio, not executed coverage</x:v>
      </x:c>
      <x:c r="D10" s="22"/>
      <x:c r="E10" s="22"/>
      <x:c r="F10" s="22"/>
    </x:row>
    <x:row r="11" ht="30" customHeight="1">
      <x:c r="A11" s="22" t="str">
        <x:v>Independent Python unit tests (legacy toolkit)</x:v>
      </x:c>
      <x:c r="B11" s="22" t="n">
        <x:v>35</x:v>
      </x:c>
      <x:c r="C11" s="22" t="str">
        <x:v>35 original tests passed; see root evidence/ORIGINAL_TOOLKIT_UNITTEST_RESULTS.txt</x:v>
      </x:c>
      <x:c r="D11" s="22"/>
      <x:c r="E11" s="22"/>
      <x:c r="F11" s="22"/>
    </x:row>
    <x:row r="12" ht="30" customHeight="1">
      <x:c r="A12" s="22" t="str">
        <x:v>NFR fully verified in deployment</x:v>
      </x:c>
      <x:c r="B12" s="22" t="n">
        <x:v>0</x:v>
      </x:c>
      <x:c r="C12" s="22" t="str">
        <x:v>No deployed hospital system in this assignment</x:v>
      </x:c>
      <x:c r="D12" s="22"/>
      <x:c r="E12" s="22"/>
      <x:c r="F12" s="22"/>
    </x:row>
    <x:row r="13" ht="30" customHeight="1">
      <x:c r="A13" s="22" t="str">
        <x:v>New executable TC-aligned prototype checks</x:v>
      </x:c>
      <x:c r="B13" s="22" t="n">
        <x:v>50</x:v>
      </x:c>
      <x:c r="C13" s="22" t="str">
        <x:v>All 50 named TC-001..TC-050; simulated domain model only</x:v>
      </x:c>
      <x:c r="D13" s="22"/>
      <x:c r="E13" s="22"/>
      <x:c r="F13" s="22"/>
    </x:row>
    <x:row r="14" ht="30" customHeight="1">
      <x:c r="A14" s="22" t="str">
        <x:v>New data and specification integrity tests</x:v>
      </x:c>
      <x:c r="B14" s="22" t="n">
        <x:v>7</x:v>
      </x:c>
      <x:c r="C14" s="22" t="str">
        <x:v>Checks sources, UC/FR/TC links, stakeholder assignments</x:v>
      </x:c>
      <x:c r="D14" s="22"/>
      <x:c r="E14" s="22"/>
      <x:c r="F14" s="22"/>
    </x:row>
    <x:row r="15" ht="30" customHeight="1">
      <x:c r="A15" s="22" t="str">
        <x:v>Deployed hospital UAT / clinical acceptance</x:v>
      </x:c>
      <x:c r="B15" s="22" t="n">
        <x:v>0</x:v>
      </x:c>
      <x:c r="C15" s="22" t="str">
        <x:v>Not executed; separate from Python model checks</x:v>
      </x:c>
      <x:c r="D15" s="22"/>
      <x:c r="E15" s="22"/>
      <x:c r="F15" s="22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db7c3f540faa47cb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5" customHeight="1">
      <x:c r="A1" s="4" t="str">
        <x:v>HOAS | 12_Team</x:v>
      </x:c>
      <x:c r="B1" s="4"/>
      <x:c r="C1" s="4"/>
      <x:c r="D1" s="4"/>
      <x:c r="E1" s="4"/>
      <x:c r="F1" s="4"/>
    </x:row>
    <x:row r="2" ht="30" customHeight="1">
      <x:c r="A2" s="10" t="str">
        <x:v>Team work allocation, evidence and presentation assignments</x:v>
      </x:c>
      <x:c r="B2" s="10"/>
      <x:c r="C2" s="10"/>
      <x:c r="D2" s="10"/>
      <x:c r="E2" s="10"/>
      <x:c r="F2" s="10"/>
    </x:row>
    <x:row r="3" ht="38" customHeight="1">
      <x:c r="A3" s="27" t="str">
        <x:v>Member</x:v>
      </x:c>
      <x:c r="B3" s="27" t="str">
        <x:v>Student ID</x:v>
      </x:c>
      <x:c r="C3" s="27" t="str">
        <x:v>Responsible work</x:v>
      </x:c>
      <x:c r="D3" s="27" t="str">
        <x:v>Evidence</x:v>
      </x:c>
      <x:c r="E3" s="27" t="str">
        <x:v>Speaking target</x:v>
      </x:c>
      <x:c r="F3" s="27" t="str">
        <x:v>Complexity</x:v>
      </x:c>
    </x:row>
    <x:row r="4" ht="30" customHeight="1">
      <x:c r="A4" s="22" t="str">
        <x:v>Nguyen Tien Duy</x:v>
      </x:c>
      <x:c r="B4" s="22" t="str">
        <x:v>24100284</x:v>
      </x:c>
      <x:c r="C4" s="22" t="str">
        <x:v>Project introduction; business scenarios; scope and submission guide</x:v>
      </x:c>
      <x:c r="D4" s="22" t="str">
        <x:v>Final report, business scenarios and workbook owner fields</x:v>
      </x:c>
      <x:c r="E4" s="22" t="str">
        <x:v>About 4 minutes: objectives, scope, SC-01 and SC-02</x:v>
      </x:c>
      <x:c r="F4" s="22" t="str">
        <x:v>Low - well defined</x:v>
      </x:c>
    </x:row>
    <x:row r="5" ht="30" customHeight="1">
      <x:c r="A5" s="22" t="str">
        <x:v>Nguyen Tien Dung</x:v>
      </x:c>
      <x:c r="B5" s="22" t="str">
        <x:v>24103269</x:v>
      </x:c>
      <x:c r="C5" s="22" t="str">
        <x:v>Stakeholder analysis; elicitation; conflict resolution; prioritization</x:v>
      </x:c>
      <x:c r="D5" s="22" t="str">
        <x:v>Final report, business scenarios and workbook owner fields</x:v>
      </x:c>
      <x:c r="E5" s="22" t="str">
        <x:v>About 4 to 6 minutes: present assigned deliverables</x:v>
      </x:c>
      <x:c r="F5" s="22" t="str">
        <x:v>Moderate / Advanced</x:v>
      </x:c>
    </x:row>
    <x:row r="6" ht="30" customHeight="1">
      <x:c r="A6" s="22" t="str">
        <x:v>Vuong Nguyen Manh Kien</x:v>
      </x:c>
      <x:c r="B6" s="22" t="str">
        <x:v>24100286</x:v>
      </x:c>
      <x:c r="C6" s="22" t="str">
        <x:v>SRS; functional and quality requirements; use cases; models</x:v>
      </x:c>
      <x:c r="D6" s="22" t="str">
        <x:v>Final report, business scenarios and workbook owner fields</x:v>
      </x:c>
      <x:c r="E6" s="22" t="str">
        <x:v>About 4 to 6 minutes: present assigned deliverables</x:v>
      </x:c>
      <x:c r="F6" s="22" t="str">
        <x:v>Moderate / Advanced</x:v>
      </x:c>
    </x:row>
    <x:row r="7" ht="30" customHeight="1">
      <x:c r="A7" s="22" t="str">
        <x:v>Phan Manh Quan</x:v>
      </x:c>
      <x:c r="B7" s="22" t="str">
        <x:v>24100346</x:v>
      </x:c>
      <x:c r="C7" s="22" t="str">
        <x:v>V&amp;V; traceability; change control; Python tests and evidence</x:v>
      </x:c>
      <x:c r="D7" s="22" t="str">
        <x:v>Final report, business scenarios and workbook owner fields</x:v>
      </x:c>
      <x:c r="E7" s="22" t="str">
        <x:v>About 4 to 6 minutes: present assigned deliverables</x:v>
      </x:c>
      <x:c r="F7" s="22" t="str">
        <x:v>Moderate / Advanced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35" customHeight="1">
      <x:c r="A1" s="4" t="str">
        <x:v>HOAS | 13_Stakeholders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Stakeholder register and influence-interest analysis based on simulated elicitation</x:v>
      </x:c>
      <x:c r="B2" s="10"/>
      <x:c r="C2" s="10"/>
      <x:c r="D2" s="10"/>
      <x:c r="E2" s="10"/>
      <x:c r="F2" s="10"/>
      <x:c r="G2" s="10"/>
      <x:c r="H2" s="10"/>
    </x:row>
    <x:row r="3" ht="38" customHeight="1">
      <x:c r="A3" s="27" t="str">
        <x:v>ID</x:v>
      </x:c>
      <x:c r="B3" s="27" t="str">
        <x:v>Stakeholder</x:v>
      </x:c>
      <x:c r="C3" s="27" t="str">
        <x:v>Role</x:v>
      </x:c>
      <x:c r="D3" s="27" t="str">
        <x:v>Influence</x:v>
      </x:c>
      <x:c r="E3" s="27" t="str">
        <x:v>Interest</x:v>
      </x:c>
      <x:c r="F3" s="27" t="str">
        <x:v>Need</x:v>
      </x:c>
      <x:c r="G3" s="27" t="str">
        <x:v>Method</x:v>
      </x:c>
      <x:c r="H3" s="27" t="str">
        <x:v>Owner</x:v>
      </x:c>
    </x:row>
    <x:row r="4" ht="30" customHeight="1">
      <x:c r="A4" s="22" t="str">
        <x:v>STK-01</x:v>
      </x:c>
      <x:c r="B4" s="22" t="str">
        <x:v>Patient</x:v>
      </x:c>
      <x:c r="C4" s="22" t="str">
        <x:v>Outpatient</x:v>
      </x:c>
      <x:c r="D4" s="22" t="str">
        <x:v>High</x:v>
      </x:c>
      <x:c r="E4" s="22" t="str">
        <x:v>High</x:v>
      </x:c>
      <x:c r="F4" s="22" t="str">
        <x:v>Search, book, cancel and reschedule visits with understandable notifications</x:v>
      </x:c>
      <x:c r="G4" s="22" t="str">
        <x:v>Simulated interview and walkthrough</x:v>
      </x:c>
      <x:c r="H4" s="22" t="str">
        <x:v>Nguyen Tien Dung</x:v>
      </x:c>
    </x:row>
    <x:row r="5" ht="30" customHeight="1">
      <x:c r="A5" s="22" t="str">
        <x:v>STK-02</x:v>
      </x:c>
      <x:c r="B5" s="22" t="str">
        <x:v>Receptionist</x:v>
      </x:c>
      <x:c r="C5" s="22" t="str">
        <x:v>Front-desk reception staff</x:v>
      </x:c>
      <x:c r="D5" s="22" t="str">
        <x:v>High</x:v>
      </x:c>
      <x:c r="E5" s="22" t="str">
        <x:v>High</x:v>
      </x:c>
      <x:c r="F5" s="22" t="str">
        <x:v>Accurate check-in; manage late arrivals and exceptional cases</x:v>
      </x:c>
      <x:c r="G5" s="22" t="str">
        <x:v>Simulated interview and observational exercise</x:v>
      </x:c>
      <x:c r="H5" s="22" t="str">
        <x:v>Nguyen Tien Dung</x:v>
      </x:c>
    </x:row>
    <x:row r="6" ht="30" customHeight="1">
      <x:c r="A6" s="22" t="str">
        <x:v>STK-03</x:v>
      </x:c>
      <x:c r="B6" s="22" t="str">
        <x:v>Doctor</x:v>
      </x:c>
      <x:c r="C6" s="22" t="str">
        <x:v>Physician</x:v>
      </x:c>
      <x:c r="D6" s="22" t="str">
        <x:v>High</x:v>
      </x:c>
      <x:c r="E6" s="22" t="str">
        <x:v>High</x:v>
      </x:c>
      <x:c r="F6" s="22" t="str">
        <x:v>Clear patient queue; update only assigned cases</x:v>
      </x:c>
      <x:c r="G6" s="22" t="str">
        <x:v>Simulated interview and scenario walkthrough</x:v>
      </x:c>
      <x:c r="H6" s="22" t="str">
        <x:v>Nguyen Tien Dung</x:v>
      </x:c>
    </x:row>
    <x:row r="7" ht="30" customHeight="1">
      <x:c r="A7" s="22" t="str">
        <x:v>STK-04</x:v>
      </x:c>
      <x:c r="B7" s="22" t="str">
        <x:v>Outpatient Manager</x:v>
      </x:c>
      <x:c r="C7" s="22" t="str">
        <x:v>Outpatient department manager</x:v>
      </x:c>
      <x:c r="D7" s="22" t="str">
        <x:v>High</x:v>
      </x:c>
      <x:c r="E7" s="22" t="str">
        <x:v>High</x:v>
      </x:c>
      <x:c r="F7" s="22" t="str">
        <x:v>Prevent overbooking; reporting and appointment policies</x:v>
      </x:c>
      <x:c r="G7" s="22" t="str">
        <x:v>Simulated JAD workshop</x:v>
      </x:c>
      <x:c r="H7" s="22" t="str">
        <x:v>Nguyen Tien Dung</x:v>
      </x:c>
    </x:row>
    <x:row r="8" ht="30" customHeight="1">
      <x:c r="A8" s="22" t="str">
        <x:v>STK-05</x:v>
      </x:c>
      <x:c r="B8" s="22" t="str">
        <x:v>System Administrator</x:v>
      </x:c>
      <x:c r="C8" s="22" t="str">
        <x:v>IT system administrator</x:v>
      </x:c>
      <x:c r="D8" s="22" t="str">
        <x:v>High</x:v>
      </x:c>
      <x:c r="E8" s="22" t="str">
        <x:v>Medium</x:v>
      </x:c>
      <x:c r="F8" s="22" t="str">
        <x:v>Access control, audit trails and physician schedule updates</x:v>
      </x:c>
      <x:c r="G8" s="22" t="str">
        <x:v>Policy review exercise</x:v>
      </x:c>
      <x:c r="H8" s="22" t="str">
        <x:v>Nguyen Tien Dung</x:v>
      </x:c>
    </x:row>
    <x:row r="9" ht="30" customHeight="1">
      <x:c r="A9" s="22" t="str">
        <x:v>STK-06</x:v>
      </x:c>
      <x:c r="B9" s="22" t="str">
        <x:v>Information Security Officer</x:v>
      </x:c>
      <x:c r="C9" s="22" t="str">
        <x:v>Information security officer</x:v>
      </x:c>
      <x:c r="D9" s="22" t="str">
        <x:v>Medium</x:v>
      </x:c>
      <x:c r="E9" s="22" t="str">
        <x:v>High</x:v>
      </x:c>
      <x:c r="F9" s="22" t="str">
        <x:v>Authorization, auditability and personal-data protection</x:v>
      </x:c>
      <x:c r="G9" s="22" t="str">
        <x:v>Simulated non-functional-requirements critique</x:v>
      </x:c>
      <x:c r="H9" s="22" t="str">
        <x:v>Nguyen Tien Dung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35" customHeight="1">
      <x:c r="A1" s="4" t="str">
        <x:v>HOAS | 14_Elicitation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Simulated elicitation sessions; no actual hospital interview is claimed</x:v>
      </x:c>
      <x:c r="B2" s="10"/>
      <x:c r="C2" s="10"/>
      <x:c r="D2" s="10"/>
      <x:c r="E2" s="10"/>
      <x:c r="F2" s="10"/>
      <x:c r="G2" s="10"/>
      <x:c r="H2" s="10"/>
    </x:row>
    <x:row r="3" ht="38" customHeight="1">
      <x:c r="A3" s="27" t="str">
        <x:v>Session</x:v>
      </x:c>
      <x:c r="B3" s="27" t="str">
        <x:v>Date</x:v>
      </x:c>
      <x:c r="C3" s="27" t="str">
        <x:v>Technique</x:v>
      </x:c>
      <x:c r="D3" s="27" t="str">
        <x:v>Stakeholders</x:v>
      </x:c>
      <x:c r="E3" s="27" t="str">
        <x:v>Finding</x:v>
      </x:c>
      <x:c r="F3" s="27" t="str">
        <x:v>Linked IDs</x:v>
      </x:c>
      <x:c r="G3" s="27" t="str">
        <x:v>Owner</x:v>
      </x:c>
      <x:c r="H3" s="27" t="str">
        <x:v>Evidence type</x:v>
      </x:c>
    </x:row>
    <x:row r="4" ht="30" customHeight="1">
      <x:c r="A4" s="22" t="str">
        <x:v>EL-01</x:v>
      </x:c>
      <x:c r="B4" s="22" t="str">
        <x:v>2026-10-08</x:v>
      </x:c>
      <x:c r="C4" s="22" t="str">
        <x:v>Semi-structured interview (simulated)</x:v>
      </x:c>
      <x:c r="D4" s="22" t="str">
        <x:v>STK-01; STK-02</x:v>
      </x:c>
      <x:c r="E4" s="22" t="str">
        <x:v>Patient self-book, reception check-in, cancellation cutoff</x:v>
      </x:c>
      <x:c r="F4" s="22" t="str">
        <x:v>FR-1.1.1; FR-8.1.1; BR-04</x:v>
      </x:c>
      <x:c r="G4" s="22" t="str">
        <x:v>Nguyen Tien Dung</x:v>
      </x:c>
      <x:c r="H4" s="22" t="str">
        <x:v>Simulation, not a real hospital interview</x:v>
      </x:c>
    </x:row>
    <x:row r="5" ht="30" customHeight="1">
      <x:c r="A5" s="22" t="str">
        <x:v>EL-02</x:v>
      </x:c>
      <x:c r="B5" s="22" t="str">
        <x:v>2026-10-09</x:v>
      </x:c>
      <x:c r="C5" s="22" t="str">
        <x:v>Scenario walkthrough (simulated)</x:v>
      </x:c>
      <x:c r="D5" s="22" t="str">
        <x:v>STK-03; STK-04</x:v>
      </x:c>
      <x:c r="E5" s="22" t="str">
        <x:v>Doctor absence and overloaded slots</x:v>
      </x:c>
      <x:c r="F5" s="22" t="str">
        <x:v>FR-4.1.2; FR-10.1.2</x:v>
      </x:c>
      <x:c r="G5" s="22" t="str">
        <x:v>Nguyen Tien Dung</x:v>
      </x:c>
      <x:c r="H5" s="22" t="str">
        <x:v>Simulation, not an actual meeting</x:v>
      </x:c>
    </x:row>
    <x:row r="6" ht="30" customHeight="1">
      <x:c r="A6" s="22" t="str">
        <x:v>EL-03</x:v>
      </x:c>
      <x:c r="B6" s="22" t="str">
        <x:v>2026-10-10</x:v>
      </x:c>
      <x:c r="C6" s="22" t="str">
        <x:v>JAD workshop (simulated)</x:v>
      </x:c>
      <x:c r="D6" s="22" t="str">
        <x:v>STK-01; STK-04; STK-05</x:v>
      </x:c>
      <x:c r="E6" s="22" t="str">
        <x:v>Compromise cancellation 12h; rollback booking</x:v>
      </x:c>
      <x:c r="F6" s="22" t="str">
        <x:v>CR-01; CR-02</x:v>
      </x:c>
      <x:c r="G6" s="22" t="str">
        <x:v>Nguyen Tien Dung</x:v>
      </x:c>
      <x:c r="H6" s="22" t="str">
        <x:v>Simulation, not approved by real stakeholders</x:v>
      </x:c>
    </x:row>
    <x:row r="7" ht="30" customHeight="1">
      <x:c r="A7" s="22" t="str">
        <x:v>EL-04</x:v>
      </x:c>
      <x:c r="B7" s="22" t="str">
        <x:v>2026-10-11</x:v>
      </x:c>
      <x:c r="C7" s="22" t="str">
        <x:v>Security checklist (simulated)</x:v>
      </x:c>
      <x:c r="D7" s="22" t="str">
        <x:v>STK-06</x:v>
      </x:c>
      <x:c r="E7" s="22" t="str">
        <x:v>Owner-only access, audit, TLS target</x:v>
      </x:c>
      <x:c r="F7" s="22" t="str">
        <x:v>NFR-3.1; NFR-3.2; NFR-6.1</x:v>
      </x:c>
      <x:c r="G7" s="22" t="str">
        <x:v>Nguyen Tien Dung</x:v>
      </x:c>
      <x:c r="H7" s="22" t="str">
        <x:v>Proposed non-functional targets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5" customHeight="1">
      <x:c r="A1" s="4" t="str">
        <x:v>HOAS | 15_Actors</x:v>
      </x:c>
      <x:c r="B1" s="4"/>
      <x:c r="C1" s="4"/>
      <x:c r="D1" s="4"/>
    </x:row>
    <x:row r="2" ht="30" customHeight="1">
      <x:c r="A2" s="10" t="str">
        <x:v>System actors and their responsibilities</x:v>
      </x:c>
      <x:c r="B2" s="10"/>
      <x:c r="C2" s="10"/>
      <x:c r="D2" s="10"/>
    </x:row>
    <x:row r="3" ht="38" customHeight="1">
      <x:c r="A3" s="27" t="str">
        <x:v>Actor ID</x:v>
      </x:c>
      <x:c r="B3" s="27" t="str">
        <x:v>Actor</x:v>
      </x:c>
      <x:c r="C3" s="27" t="str">
        <x:v>Type</x:v>
      </x:c>
      <x:c r="D3" s="27" t="str">
        <x:v>Responsibilities</x:v>
      </x:c>
    </x:row>
    <x:row r="4" ht="30" customHeight="1">
      <x:c r="A4" s="22" t="str">
        <x:v>ACT-01</x:v>
      </x:c>
      <x:c r="B4" s="22" t="str">
        <x:v>Patient</x:v>
      </x:c>
      <x:c r="C4" s="22" t="str">
        <x:v>Primary</x:v>
      </x:c>
      <x:c r="D4" s="22" t="str">
        <x:v>Search, book, review, reschedule and cancel appointments</x:v>
      </x:c>
    </x:row>
    <x:row r="5" ht="30" customHeight="1">
      <x:c r="A5" s="22" t="str">
        <x:v>ACT-02</x:v>
      </x:c>
      <x:c r="B5" s="22" t="str">
        <x:v>Receptionist</x:v>
      </x:c>
      <x:c r="C5" s="22" t="str">
        <x:v>Primary</x:v>
      </x:c>
      <x:c r="D5" s="22" t="str">
        <x:v>Assist patients and confirm arrival at the reception desk</x:v>
      </x:c>
    </x:row>
    <x:row r="6" ht="30" customHeight="1">
      <x:c r="A6" s="22" t="str">
        <x:v>ACT-03</x:v>
      </x:c>
      <x:c r="B6" s="22" t="str">
        <x:v>Doctor</x:v>
      </x:c>
      <x:c r="C6" s="22" t="str">
        <x:v>Primary</x:v>
      </x:c>
      <x:c r="D6" s="22" t="str">
        <x:v>View assigned patients and update visit status</x:v>
      </x:c>
    </x:row>
    <x:row r="7" ht="30" customHeight="1">
      <x:c r="A7" s="22" t="str">
        <x:v>ACT-04</x:v>
      </x:c>
      <x:c r="B7" s="22" t="str">
        <x:v>Administrator</x:v>
      </x:c>
      <x:c r="C7" s="22" t="str">
        <x:v>Primary</x:v>
      </x:c>
      <x:c r="D7" s="22" t="str">
        <x:v>Manage physician schedules and obtain operational reports</x:v>
      </x:c>
    </x:row>
    <x:row r="8" ht="30" customHeight="1">
      <x:c r="A8" s="22" t="str">
        <x:v>ACT-05</x:v>
      </x:c>
      <x:c r="B8" s="22" t="str">
        <x:v>Notification Service</x:v>
      </x:c>
      <x:c r="C8" s="22" t="str">
        <x:v>External</x:v>
      </x:c>
      <x:c r="D8" s="22" t="str">
        <x:v>Deliver appointment notifications and delivery acknowledgments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35" customHeight="1">
      <x:c r="A1" s="4" t="str">
        <x:v>HOAS | 16_UC_MainFlow</x:v>
      </x:c>
      <x:c r="B1" s="4"/>
      <x:c r="C1" s="4"/>
      <x:c r="D1" s="4"/>
      <x:c r="E1" s="4"/>
    </x:row>
    <x:row r="2" ht="30" customHeight="1">
      <x:c r="A2" s="10" t="str">
        <x:v>The main success flow of each use case with consistent step numbering</x:v>
      </x:c>
      <x:c r="B2" s="10"/>
      <x:c r="C2" s="10"/>
      <x:c r="D2" s="10"/>
      <x:c r="E2" s="10"/>
    </x:row>
    <x:row r="3" ht="38" customHeight="1">
      <x:c r="A3" s="27" t="str">
        <x:v>UC ID</x:v>
      </x:c>
      <x:c r="B3" s="27" t="str">
        <x:v>Use Case</x:v>
      </x:c>
      <x:c r="C3" s="27" t="str">
        <x:v>Step</x:v>
      </x:c>
      <x:c r="D3" s="27" t="str">
        <x:v>Action</x:v>
      </x:c>
      <x:c r="E3" s="27" t="str">
        <x:v>Flow Type</x:v>
      </x:c>
    </x:row>
    <x:row r="4" ht="30" customHeight="1">
      <x:c r="A4" s="22" t="str">
        <x:v>UC-01</x:v>
      </x:c>
      <x:c r="B4" s="22" t="str">
        <x:v>Register and Sign In</x:v>
      </x:c>
      <x:c r="C4" s="22" t="n">
        <x:v>1</x:v>
      </x:c>
      <x:c r="D4" s="22" t="str">
        <x:v>Choose Register</x:v>
      </x:c>
      <x:c r="E4" s="22" t="str">
        <x:v>Main</x:v>
      </x:c>
    </x:row>
    <x:row r="5" ht="30" customHeight="1">
      <x:c r="A5" s="22" t="str">
        <x:v>UC-01</x:v>
      </x:c>
      <x:c r="B5" s="22" t="str">
        <x:v>Register and Sign In</x:v>
      </x:c>
      <x:c r="C5" s="22" t="n">
        <x:v>2</x:v>
      </x:c>
      <x:c r="D5" s="22" t="str">
        <x:v>Enter the minimum required details</x:v>
      </x:c>
      <x:c r="E5" s="22" t="str">
        <x:v>Main</x:v>
      </x:c>
    </x:row>
    <x:row r="6" ht="30" customHeight="1">
      <x:c r="A6" s="22" t="str">
        <x:v>UC-01</x:v>
      </x:c>
      <x:c r="B6" s="22" t="str">
        <x:v>Register and Sign In</x:v>
      </x:c>
      <x:c r="C6" s="22" t="n">
        <x:v>3</x:v>
      </x:c>
      <x:c r="D6" s="22" t="str">
        <x:v>Validate mandatory fields and uniqueness</x:v>
      </x:c>
      <x:c r="E6" s="22" t="str">
        <x:v>Main</x:v>
      </x:c>
    </x:row>
    <x:row r="7" ht="30" customHeight="1">
      <x:c r="A7" s="22" t="str">
        <x:v>UC-01</x:v>
      </x:c>
      <x:c r="B7" s="22" t="str">
        <x:v>Register and Sign In</x:v>
      </x:c>
      <x:c r="C7" s="22" t="n">
        <x:v>4</x:v>
      </x:c>
      <x:c r="D7" s="22" t="str">
        <x:v>Create an account</x:v>
      </x:c>
      <x:c r="E7" s="22" t="str">
        <x:v>Main</x:v>
      </x:c>
    </x:row>
    <x:row r="8" ht="30" customHeight="1">
      <x:c r="A8" s="22" t="str">
        <x:v>UC-01</x:v>
      </x:c>
      <x:c r="B8" s="22" t="str">
        <x:v>Register and Sign In</x:v>
      </x:c>
      <x:c r="C8" s="22" t="n">
        <x:v>5</x:v>
      </x:c>
      <x:c r="D8" s="22" t="str">
        <x:v>Enter sign-in credentials</x:v>
      </x:c>
      <x:c r="E8" s="22" t="str">
        <x:v>Main</x:v>
      </x:c>
    </x:row>
    <x:row r="9" ht="30" customHeight="1">
      <x:c r="A9" s="22" t="str">
        <x:v>UC-01</x:v>
      </x:c>
      <x:c r="B9" s="22" t="str">
        <x:v>Register and Sign In</x:v>
      </x:c>
      <x:c r="C9" s="22" t="n">
        <x:v>6</x:v>
      </x:c>
      <x:c r="D9" s="22" t="str">
        <x:v>Authenticate credentials and start a role-based session</x:v>
      </x:c>
      <x:c r="E9" s="22" t="str">
        <x:v>Main</x:v>
      </x:c>
    </x:row>
    <x:row r="10" ht="30" customHeight="1">
      <x:c r="A10" s="22" t="str">
        <x:v>UC-02</x:v>
      </x:c>
      <x:c r="B10" s="22" t="str">
        <x:v>Manage Patient Profile</x:v>
      </x:c>
      <x:c r="C10" s="22" t="n">
        <x:v>1</x:v>
      </x:c>
      <x:c r="D10" s="22" t="str">
        <x:v>Open Profile</x:v>
      </x:c>
      <x:c r="E10" s="22" t="str">
        <x:v>Main</x:v>
      </x:c>
    </x:row>
    <x:row r="11" ht="30" customHeight="1">
      <x:c r="A11" s="22" t="str">
        <x:v>UC-02</x:v>
      </x:c>
      <x:c r="B11" s="22" t="str">
        <x:v>Manage Patient Profile</x:v>
      </x:c>
      <x:c r="C11" s="22" t="n">
        <x:v>2</x:v>
      </x:c>
      <x:c r="D11" s="22" t="str">
        <x:v>View current personal information</x:v>
      </x:c>
      <x:c r="E11" s="22" t="str">
        <x:v>Main</x:v>
      </x:c>
    </x:row>
    <x:row r="12" ht="30" customHeight="1">
      <x:c r="A12" s="22" t="str">
        <x:v>UC-02</x:v>
      </x:c>
      <x:c r="B12" s="22" t="str">
        <x:v>Manage Patient Profile</x:v>
      </x:c>
      <x:c r="C12" s="22" t="n">
        <x:v>3</x:v>
      </x:c>
      <x:c r="D12" s="22" t="str">
        <x:v>Edit an allowed address or contact field</x:v>
      </x:c>
      <x:c r="E12" s="22" t="str">
        <x:v>Main</x:v>
      </x:c>
    </x:row>
    <x:row r="13" ht="30" customHeight="1">
      <x:c r="A13" s="22" t="str">
        <x:v>UC-02</x:v>
      </x:c>
      <x:c r="B13" s="22" t="str">
        <x:v>Manage Patient Profile</x:v>
      </x:c>
      <x:c r="C13" s="22" t="n">
        <x:v>4</x:v>
      </x:c>
      <x:c r="D13" s="22" t="str">
        <x:v>Validate the edited information</x:v>
      </x:c>
      <x:c r="E13" s="22" t="str">
        <x:v>Main</x:v>
      </x:c>
    </x:row>
    <x:row r="14" ht="30" customHeight="1">
      <x:c r="A14" s="22" t="str">
        <x:v>UC-02</x:v>
      </x:c>
      <x:c r="B14" s="22" t="str">
        <x:v>Manage Patient Profile</x:v>
      </x:c>
      <x:c r="C14" s="22" t="n">
        <x:v>5</x:v>
      </x:c>
      <x:c r="D14" s="22" t="str">
        <x:v>Save changes and display the outcome</x:v>
      </x:c>
      <x:c r="E14" s="22" t="str">
        <x:v>Main</x:v>
      </x:c>
    </x:row>
    <x:row r="15" ht="30" customHeight="1">
      <x:c r="A15" s="22" t="str">
        <x:v>UC-03</x:v>
      </x:c>
      <x:c r="B15" s="22" t="str">
        <x:v>Search Doctors and Available Slots</x:v>
      </x:c>
      <x:c r="C15" s="22" t="n">
        <x:v>1</x:v>
      </x:c>
      <x:c r="D15" s="22" t="str">
        <x:v>Open Appointment Search</x:v>
      </x:c>
      <x:c r="E15" s="22" t="str">
        <x:v>Main</x:v>
      </x:c>
    </x:row>
    <x:row r="16" ht="30" customHeight="1">
      <x:c r="A16" s="22" t="str">
        <x:v>UC-03</x:v>
      </x:c>
      <x:c r="B16" s="22" t="str">
        <x:v>Search Doctors and Available Slots</x:v>
      </x:c>
      <x:c r="C16" s="22" t="n">
        <x:v>2</x:v>
      </x:c>
      <x:c r="D16" s="22" t="str">
        <x:v>Select a specialty</x:v>
      </x:c>
      <x:c r="E16" s="22" t="str">
        <x:v>Main</x:v>
      </x:c>
    </x:row>
    <x:row r="17" ht="30" customHeight="1">
      <x:c r="A17" s="22" t="str">
        <x:v>UC-03</x:v>
      </x:c>
      <x:c r="B17" s="22" t="str">
        <x:v>Search Doctors and Available Slots</x:v>
      </x:c>
      <x:c r="C17" s="22" t="n">
        <x:v>3</x:v>
      </x:c>
      <x:c r="D17" s="22" t="str">
        <x:v>Choose a doctor and date</x:v>
      </x:c>
      <x:c r="E17" s="22" t="str">
        <x:v>Main</x:v>
      </x:c>
    </x:row>
    <x:row r="18" ht="30" customHeight="1">
      <x:c r="A18" s="22" t="str">
        <x:v>UC-03</x:v>
      </x:c>
      <x:c r="B18" s="22" t="str">
        <x:v>Search Doctors and Available Slots</x:v>
      </x:c>
      <x:c r="C18" s="22" t="n">
        <x:v>4</x:v>
      </x:c>
      <x:c r="D18" s="22" t="str">
        <x:v>Review slots with remaining capacity</x:v>
      </x:c>
      <x:c r="E18" s="22" t="str">
        <x:v>Main</x:v>
      </x:c>
    </x:row>
    <x:row r="19" ht="30" customHeight="1">
      <x:c r="A19" s="22" t="str">
        <x:v>UC-03</x:v>
      </x:c>
      <x:c r="B19" s="22" t="str">
        <x:v>Search Doctors and Available Slots</x:v>
      </x:c>
      <x:c r="C19" s="22" t="n">
        <x:v>5</x:v>
      </x:c>
      <x:c r="D19" s="22" t="str">
        <x:v>Select an eligible slot</x:v>
      </x:c>
      <x:c r="E19" s="22" t="str">
        <x:v>Main</x:v>
      </x:c>
    </x:row>
    <x:row r="20" ht="30" customHeight="1">
      <x:c r="A20" s="22" t="str">
        <x:v>UC-04</x:v>
      </x:c>
      <x:c r="B20" s="22" t="str">
        <x:v>Book an Appointment</x:v>
      </x:c>
      <x:c r="C20" s="22" t="n">
        <x:v>1</x:v>
      </x:c>
      <x:c r="D20" s="22" t="str">
        <x:v>Select the slot and review details</x:v>
      </x:c>
      <x:c r="E20" s="22" t="str">
        <x:v>Main</x:v>
      </x:c>
    </x:row>
    <x:row r="21" ht="30" customHeight="1">
      <x:c r="A21" s="22" t="str">
        <x:v>UC-04</x:v>
      </x:c>
      <x:c r="B21" s="22" t="str">
        <x:v>Book an Appointment</x:v>
      </x:c>
      <x:c r="C21" s="22" t="n">
        <x:v>2</x:v>
      </x:c>
      <x:c r="D21" s="22" t="str">
        <x:v>Confirm the booking request</x:v>
      </x:c>
      <x:c r="E21" s="22" t="str">
        <x:v>Main</x:v>
      </x:c>
    </x:row>
    <x:row r="22" ht="30" customHeight="1">
      <x:c r="A22" s="22" t="str">
        <x:v>UC-04</x:v>
      </x:c>
      <x:c r="B22" s="22" t="str">
        <x:v>Book an Appointment</x:v>
      </x:c>
      <x:c r="C22" s="22" t="n">
        <x:v>3</x:v>
      </x:c>
      <x:c r="D22" s="22" t="str">
        <x:v>Recheck the doctor schedule and current capacity</x:v>
      </x:c>
      <x:c r="E22" s="22" t="str">
        <x:v>Main</x:v>
      </x:c>
    </x:row>
    <x:row r="23" ht="30" customHeight="1">
      <x:c r="A23" s="22" t="str">
        <x:v>UC-04</x:v>
      </x:c>
      <x:c r="B23" s="22" t="str">
        <x:v>Book an Appointment</x:v>
      </x:c>
      <x:c r="C23" s="22" t="n">
        <x:v>4</x:v>
      </x:c>
      <x:c r="D23" s="22" t="str">
        <x:v>Atomically create the booking and reserve one place</x:v>
      </x:c>
      <x:c r="E23" s="22" t="str">
        <x:v>Main</x:v>
      </x:c>
    </x:row>
    <x:row r="24" ht="30" customHeight="1">
      <x:c r="A24" s="22" t="str">
        <x:v>UC-04</x:v>
      </x:c>
      <x:c r="B24" s="22" t="str">
        <x:v>Book an Appointment</x:v>
      </x:c>
      <x:c r="C24" s="22" t="n">
        <x:v>5</x:v>
      </x:c>
      <x:c r="D24" s="22" t="str">
        <x:v>Display appointment ID and Confirmed status</x:v>
      </x:c>
      <x:c r="E24" s="22" t="str">
        <x:v>Main</x:v>
      </x:c>
    </x:row>
    <x:row r="25" ht="30" customHeight="1">
      <x:c r="A25" s="22" t="str">
        <x:v>UC-04</x:v>
      </x:c>
      <x:c r="B25" s="22" t="str">
        <x:v>Book an Appointment</x:v>
      </x:c>
      <x:c r="C25" s="22" t="n">
        <x:v>6</x:v>
      </x:c>
      <x:c r="D25" s="22" t="str">
        <x:v>Queue the confirmation notification</x:v>
      </x:c>
      <x:c r="E25" s="22" t="str">
        <x:v>Main</x:v>
      </x:c>
    </x:row>
    <x:row r="26" ht="30" customHeight="1">
      <x:c r="A26" s="22" t="str">
        <x:v>UC-05</x:v>
      </x:c>
      <x:c r="B26" s="22" t="str">
        <x:v>View My Appointments</x:v>
      </x:c>
      <x:c r="C26" s="22" t="n">
        <x:v>1</x:v>
      </x:c>
      <x:c r="D26" s="22" t="str">
        <x:v>Sign in</x:v>
      </x:c>
      <x:c r="E26" s="22" t="str">
        <x:v>Main</x:v>
      </x:c>
    </x:row>
    <x:row r="27" ht="30" customHeight="1">
      <x:c r="A27" s="22" t="str">
        <x:v>UC-05</x:v>
      </x:c>
      <x:c r="B27" s="22" t="str">
        <x:v>View My Appointments</x:v>
      </x:c>
      <x:c r="C27" s="22" t="n">
        <x:v>2</x:v>
      </x:c>
      <x:c r="D27" s="22" t="str">
        <x:v>Open My Appointments</x:v>
      </x:c>
      <x:c r="E27" s="22" t="str">
        <x:v>Main</x:v>
      </x:c>
    </x:row>
    <x:row r="28" ht="30" customHeight="1">
      <x:c r="A28" s="22" t="str">
        <x:v>UC-05</x:v>
      </x:c>
      <x:c r="B28" s="22" t="str">
        <x:v>View My Appointments</x:v>
      </x:c>
      <x:c r="C28" s="22" t="n">
        <x:v>3</x:v>
      </x:c>
      <x:c r="D28" s="22" t="str">
        <x:v>Filter appointments by authenticated patient</x:v>
      </x:c>
      <x:c r="E28" s="22" t="str">
        <x:v>Main</x:v>
      </x:c>
    </x:row>
    <x:row r="29" ht="30" customHeight="1">
      <x:c r="A29" s="22" t="str">
        <x:v>UC-05</x:v>
      </x:c>
      <x:c r="B29" s="22" t="str">
        <x:v>View My Appointments</x:v>
      </x:c>
      <x:c r="C29" s="22" t="n">
        <x:v>4</x:v>
      </x:c>
      <x:c r="D29" s="22" t="str">
        <x:v>Display doctor, time and status</x:v>
      </x:c>
      <x:c r="E29" s="22" t="str">
        <x:v>Main</x:v>
      </x:c>
    </x:row>
    <x:row r="30" ht="30" customHeight="1">
      <x:c r="A30" s="22" t="str">
        <x:v>UC-05</x:v>
      </x:c>
      <x:c r="B30" s="22" t="str">
        <x:v>View My Appointments</x:v>
      </x:c>
      <x:c r="C30" s="22" t="n">
        <x:v>5</x:v>
      </x:c>
      <x:c r="D30" s="22" t="str">
        <x:v>Open an appointment for details</x:v>
      </x:c>
      <x:c r="E30" s="22" t="str">
        <x:v>Main</x:v>
      </x:c>
    </x:row>
    <x:row r="31" ht="30" customHeight="1">
      <x:c r="A31" s="22" t="str">
        <x:v>UC-06</x:v>
      </x:c>
      <x:c r="B31" s="22" t="str">
        <x:v>Cancel an Appointment</x:v>
      </x:c>
      <x:c r="C31" s="22" t="n">
        <x:v>1</x:v>
      </x:c>
      <x:c r="D31" s="22" t="str">
        <x:v>Open a Confirmed appointment</x:v>
      </x:c>
      <x:c r="E31" s="22" t="str">
        <x:v>Main</x:v>
      </x:c>
    </x:row>
    <x:row r="32" ht="30" customHeight="1">
      <x:c r="A32" s="22" t="str">
        <x:v>UC-06</x:v>
      </x:c>
      <x:c r="B32" s="22" t="str">
        <x:v>Cancel an Appointment</x:v>
      </x:c>
      <x:c r="C32" s="22" t="n">
        <x:v>2</x:v>
      </x:c>
      <x:c r="D32" s="22" t="str">
        <x:v>Select Cancel Appointment</x:v>
      </x:c>
      <x:c r="E32" s="22" t="str">
        <x:v>Main</x:v>
      </x:c>
    </x:row>
    <x:row r="33" ht="30" customHeight="1">
      <x:c r="A33" s="22" t="str">
        <x:v>UC-06</x:v>
      </x:c>
      <x:c r="B33" s="22" t="str">
        <x:v>Cancel an Appointment</x:v>
      </x:c>
      <x:c r="C33" s="22" t="n">
        <x:v>3</x:v>
      </x:c>
      <x:c r="D33" s="22" t="str">
        <x:v>Validate owner identity and cancellation deadline</x:v>
      </x:c>
      <x:c r="E33" s="22" t="str">
        <x:v>Main</x:v>
      </x:c>
    </x:row>
    <x:row r="34" ht="30" customHeight="1">
      <x:c r="A34" s="22" t="str">
        <x:v>UC-06</x:v>
      </x:c>
      <x:c r="B34" s="22" t="str">
        <x:v>Cancel an Appointment</x:v>
      </x:c>
      <x:c r="C34" s="22" t="n">
        <x:v>4</x:v>
      </x:c>
      <x:c r="D34" s="22" t="str">
        <x:v>Confirm cancellation</x:v>
      </x:c>
      <x:c r="E34" s="22" t="str">
        <x:v>Main</x:v>
      </x:c>
    </x:row>
    <x:row r="35" ht="30" customHeight="1">
      <x:c r="A35" s="22" t="str">
        <x:v>UC-06</x:v>
      </x:c>
      <x:c r="B35" s="22" t="str">
        <x:v>Cancel an Appointment</x:v>
      </x:c>
      <x:c r="C35" s="22" t="n">
        <x:v>5</x:v>
      </x:c>
      <x:c r="D35" s="22" t="str">
        <x:v>Atomically cancel the booking and release capacity</x:v>
      </x:c>
      <x:c r="E35" s="22" t="str">
        <x:v>Main</x:v>
      </x:c>
    </x:row>
    <x:row r="36" ht="30" customHeight="1">
      <x:c r="A36" s="22" t="str">
        <x:v>UC-06</x:v>
      </x:c>
      <x:c r="B36" s="22" t="str">
        <x:v>Cancel an Appointment</x:v>
      </x:c>
      <x:c r="C36" s="22" t="n">
        <x:v>6</x:v>
      </x:c>
      <x:c r="D36" s="22" t="str">
        <x:v>Queue the cancellation notice</x:v>
      </x:c>
      <x:c r="E36" s="22" t="str">
        <x:v>Main</x:v>
      </x:c>
    </x:row>
    <x:row r="37" ht="30" customHeight="1">
      <x:c r="A37" s="22" t="str">
        <x:v>UC-07</x:v>
      </x:c>
      <x:c r="B37" s="22" t="str">
        <x:v>Reschedule an Appointment</x:v>
      </x:c>
      <x:c r="C37" s="22" t="n">
        <x:v>1</x:v>
      </x:c>
      <x:c r="D37" s="22" t="str">
        <x:v>Select an appointment to change</x:v>
      </x:c>
      <x:c r="E37" s="22" t="str">
        <x:v>Main</x:v>
      </x:c>
    </x:row>
    <x:row r="38" ht="30" customHeight="1">
      <x:c r="A38" s="22" t="str">
        <x:v>UC-07</x:v>
      </x:c>
      <x:c r="B38" s="22" t="str">
        <x:v>Reschedule an Appointment</x:v>
      </x:c>
      <x:c r="C38" s="22" t="n">
        <x:v>2</x:v>
      </x:c>
      <x:c r="D38" s="22" t="str">
        <x:v>Search for a new slot</x:v>
      </x:c>
      <x:c r="E38" s="22" t="str">
        <x:v>Main</x:v>
      </x:c>
    </x:row>
    <x:row r="39" ht="30" customHeight="1">
      <x:c r="A39" s="22" t="str">
        <x:v>UC-07</x:v>
      </x:c>
      <x:c r="B39" s="22" t="str">
        <x:v>Reschedule an Appointment</x:v>
      </x:c>
      <x:c r="C39" s="22" t="n">
        <x:v>3</x:v>
      </x:c>
      <x:c r="D39" s="22" t="str">
        <x:v>Validate ownership, cutoff and new-slot capacity</x:v>
      </x:c>
      <x:c r="E39" s="22" t="str">
        <x:v>Main</x:v>
      </x:c>
    </x:row>
    <x:row r="40" ht="30" customHeight="1">
      <x:c r="A40" s="22" t="str">
        <x:v>UC-07</x:v>
      </x:c>
      <x:c r="B40" s="22" t="str">
        <x:v>Reschedule an Appointment</x:v>
      </x:c>
      <x:c r="C40" s="22" t="n">
        <x:v>4</x:v>
      </x:c>
      <x:c r="D40" s="22" t="str">
        <x:v>Confirm rescheduling</x:v>
      </x:c>
      <x:c r="E40" s="22" t="str">
        <x:v>Main</x:v>
      </x:c>
    </x:row>
    <x:row r="41" ht="30" customHeight="1">
      <x:c r="A41" s="22" t="str">
        <x:v>UC-07</x:v>
      </x:c>
      <x:c r="B41" s="22" t="str">
        <x:v>Reschedule an Appointment</x:v>
      </x:c>
      <x:c r="C41" s="22" t="n">
        <x:v>5</x:v>
      </x:c>
      <x:c r="D41" s="22" t="str">
        <x:v>Atomically reserve the new slot and release the old slot</x:v>
      </x:c>
      <x:c r="E41" s="22" t="str">
        <x:v>Main</x:v>
      </x:c>
    </x:row>
    <x:row r="42" ht="30" customHeight="1">
      <x:c r="A42" s="22" t="str">
        <x:v>UC-07</x:v>
      </x:c>
      <x:c r="B42" s="22" t="str">
        <x:v>Reschedule an Appointment</x:v>
      </x:c>
      <x:c r="C42" s="22" t="n">
        <x:v>6</x:v>
      </x:c>
      <x:c r="D42" s="22" t="str">
        <x:v>Queue the rescheduling notice</x:v>
      </x:c>
      <x:c r="E42" s="22" t="str">
        <x:v>Main</x:v>
      </x:c>
    </x:row>
    <x:row r="43" ht="30" customHeight="1">
      <x:c r="A43" s="22" t="str">
        <x:v>UC-08</x:v>
      </x:c>
      <x:c r="B43" s="22" t="str">
        <x:v>Patient Check-in</x:v>
      </x:c>
      <x:c r="C43" s="22" t="n">
        <x:v>1</x:v>
      </x:c>
      <x:c r="D43" s="22" t="str">
        <x:v>Receptionist signs in</x:v>
      </x:c>
      <x:c r="E43" s="22" t="str">
        <x:v>Main</x:v>
      </x:c>
    </x:row>
    <x:row r="44" ht="30" customHeight="1">
      <x:c r="A44" s="22" t="str">
        <x:v>UC-08</x:v>
      </x:c>
      <x:c r="B44" s="22" t="str">
        <x:v>Patient Check-in</x:v>
      </x:c>
      <x:c r="C44" s="22" t="n">
        <x:v>2</x:v>
      </x:c>
      <x:c r="D44" s="22" t="str">
        <x:v>Enter the appointment code</x:v>
      </x:c>
      <x:c r="E44" s="22" t="str">
        <x:v>Main</x:v>
      </x:c>
    </x:row>
    <x:row r="45" ht="30" customHeight="1">
      <x:c r="A45" s="22" t="str">
        <x:v>UC-08</x:v>
      </x:c>
      <x:c r="B45" s="22" t="str">
        <x:v>Patient Check-in</x:v>
      </x:c>
      <x:c r="C45" s="22" t="n">
        <x:v>3</x:v>
      </x:c>
      <x:c r="D45" s="22" t="str">
        <x:v>Display essential booking details</x:v>
      </x:c>
      <x:c r="E45" s="22" t="str">
        <x:v>Main</x:v>
      </x:c>
    </x:row>
    <x:row r="46" ht="30" customHeight="1">
      <x:c r="A46" s="22" t="str">
        <x:v>UC-08</x:v>
      </x:c>
      <x:c r="B46" s="22" t="str">
        <x:v>Patient Check-in</x:v>
      </x:c>
      <x:c r="C46" s="22" t="n">
        <x:v>4</x:v>
      </x:c>
      <x:c r="D46" s="22" t="str">
        <x:v>Verify identity according to hospital procedure</x:v>
      </x:c>
      <x:c r="E46" s="22" t="str">
        <x:v>Main</x:v>
      </x:c>
    </x:row>
    <x:row r="47" ht="30" customHeight="1">
      <x:c r="A47" s="22" t="str">
        <x:v>UC-08</x:v>
      </x:c>
      <x:c r="B47" s="22" t="str">
        <x:v>Patient Check-in</x:v>
      </x:c>
      <x:c r="C47" s="22" t="n">
        <x:v>5</x:v>
      </x:c>
      <x:c r="D47" s="22" t="str">
        <x:v>Confirm arrival</x:v>
      </x:c>
      <x:c r="E47" s="22" t="str">
        <x:v>Main</x:v>
      </x:c>
    </x:row>
    <x:row r="48" ht="30" customHeight="1">
      <x:c r="A48" s="22" t="str">
        <x:v>UC-08</x:v>
      </x:c>
      <x:c r="B48" s="22" t="str">
        <x:v>Patient Check-in</x:v>
      </x:c>
      <x:c r="C48" s="22" t="n">
        <x:v>6</x:v>
      </x:c>
      <x:c r="D48" s="22" t="str">
        <x:v>Set booking status to Checked-in</x:v>
      </x:c>
      <x:c r="E48" s="22" t="str">
        <x:v>Main</x:v>
      </x:c>
    </x:row>
    <x:row r="49" ht="30" customHeight="1">
      <x:c r="A49" s="22" t="str">
        <x:v>UC-09</x:v>
      </x:c>
      <x:c r="B49" s="22" t="str">
        <x:v>Manage Consultation Progress</x:v>
      </x:c>
      <x:c r="C49" s="22" t="n">
        <x:v>1</x:v>
      </x:c>
      <x:c r="D49" s="22" t="str">
        <x:v>Doctor signs in</x:v>
      </x:c>
      <x:c r="E49" s="22" t="str">
        <x:v>Main</x:v>
      </x:c>
    </x:row>
    <x:row r="50" ht="30" customHeight="1">
      <x:c r="A50" s="22" t="str">
        <x:v>UC-09</x:v>
      </x:c>
      <x:c r="B50" s="22" t="str">
        <x:v>Manage Consultation Progress</x:v>
      </x:c>
      <x:c r="C50" s="22" t="n">
        <x:v>2</x:v>
      </x:c>
      <x:c r="D50" s="22" t="str">
        <x:v>View assigned appointments for today</x:v>
      </x:c>
      <x:c r="E50" s="22" t="str">
        <x:v>Main</x:v>
      </x:c>
    </x:row>
    <x:row r="51" ht="30" customHeight="1">
      <x:c r="A51" s="22" t="str">
        <x:v>UC-09</x:v>
      </x:c>
      <x:c r="B51" s="22" t="str">
        <x:v>Manage Consultation Progress</x:v>
      </x:c>
      <x:c r="C51" s="22" t="n">
        <x:v>3</x:v>
      </x:c>
      <x:c r="D51" s="22" t="str">
        <x:v>Select a Checked-in patient</x:v>
      </x:c>
      <x:c r="E51" s="22" t="str">
        <x:v>Main</x:v>
      </x:c>
    </x:row>
    <x:row r="52" ht="30" customHeight="1">
      <x:c r="A52" s="22" t="str">
        <x:v>UC-09</x:v>
      </x:c>
      <x:c r="B52" s="22" t="str">
        <x:v>Manage Consultation Progress</x:v>
      </x:c>
      <x:c r="C52" s="22" t="n">
        <x:v>4</x:v>
      </x:c>
      <x:c r="D52" s="22" t="str">
        <x:v>Start the consultation</x:v>
      </x:c>
      <x:c r="E52" s="22" t="str">
        <x:v>Main</x:v>
      </x:c>
    </x:row>
    <x:row r="53" ht="30" customHeight="1">
      <x:c r="A53" s="22" t="str">
        <x:v>UC-09</x:v>
      </x:c>
      <x:c r="B53" s="22" t="str">
        <x:v>Manage Consultation Progress</x:v>
      </x:c>
      <x:c r="C53" s="22" t="n">
        <x:v>5</x:v>
      </x:c>
      <x:c r="D53" s="22" t="str">
        <x:v>Change status to In Progress</x:v>
      </x:c>
      <x:c r="E53" s="22" t="str">
        <x:v>Main</x:v>
      </x:c>
    </x:row>
    <x:row r="54" ht="30" customHeight="1">
      <x:c r="A54" s="22" t="str">
        <x:v>UC-09</x:v>
      </x:c>
      <x:c r="B54" s="22" t="str">
        <x:v>Manage Consultation Progress</x:v>
      </x:c>
      <x:c r="C54" s="22" t="n">
        <x:v>6</x:v>
      </x:c>
      <x:c r="D54" s="22" t="str">
        <x:v>Complete the visit and set status to Completed</x:v>
      </x:c>
      <x:c r="E54" s="22" t="str">
        <x:v>Main</x:v>
      </x:c>
    </x:row>
    <x:row r="55" ht="30" customHeight="1">
      <x:c r="A55" s="22" t="str">
        <x:v>UC-10</x:v>
      </x:c>
      <x:c r="B55" s="22" t="str">
        <x:v>Manage Physician Schedules</x:v>
      </x:c>
      <x:c r="C55" s="22" t="n">
        <x:v>1</x:v>
      </x:c>
      <x:c r="D55" s="22" t="str">
        <x:v>Open Physician Schedule Management</x:v>
      </x:c>
      <x:c r="E55" s="22" t="str">
        <x:v>Main</x:v>
      </x:c>
    </x:row>
    <x:row r="56" ht="30" customHeight="1">
      <x:c r="A56" s="22" t="str">
        <x:v>UC-10</x:v>
      </x:c>
      <x:c r="B56" s="22" t="str">
        <x:v>Manage Physician Schedules</x:v>
      </x:c>
      <x:c r="C56" s="22" t="n">
        <x:v>2</x:v>
      </x:c>
      <x:c r="D56" s="22" t="str">
        <x:v>Select a physician</x:v>
      </x:c>
      <x:c r="E56" s="22" t="str">
        <x:v>Main</x:v>
      </x:c>
    </x:row>
    <x:row r="57" ht="30" customHeight="1">
      <x:c r="A57" s="22" t="str">
        <x:v>UC-10</x:v>
      </x:c>
      <x:c r="B57" s="22" t="str">
        <x:v>Manage Physician Schedules</x:v>
      </x:c>
      <x:c r="C57" s="22" t="n">
        <x:v>3</x:v>
      </x:c>
      <x:c r="D57" s="22" t="str">
        <x:v>Create, change or suspend a slot</x:v>
      </x:c>
      <x:c r="E57" s="22" t="str">
        <x:v>Main</x:v>
      </x:c>
    </x:row>
    <x:row r="58" ht="30" customHeight="1">
      <x:c r="A58" s="22" t="str">
        <x:v>UC-10</x:v>
      </x:c>
      <x:c r="B58" s="22" t="str">
        <x:v>Manage Physician Schedules</x:v>
      </x:c>
      <x:c r="C58" s="22" t="n">
        <x:v>4</x:v>
      </x:c>
      <x:c r="D58" s="22" t="str">
        <x:v>Check overlapping slots and affected bookings</x:v>
      </x:c>
      <x:c r="E58" s="22" t="str">
        <x:v>Main</x:v>
      </x:c>
    </x:row>
    <x:row r="59" ht="30" customHeight="1">
      <x:c r="A59" s="22" t="str">
        <x:v>UC-10</x:v>
      </x:c>
      <x:c r="B59" s="22" t="str">
        <x:v>Manage Physician Schedules</x:v>
      </x:c>
      <x:c r="C59" s="22" t="n">
        <x:v>5</x:v>
      </x:c>
      <x:c r="D59" s="22" t="str">
        <x:v>Save approved changes</x:v>
      </x:c>
      <x:c r="E59" s="22" t="str">
        <x:v>Main</x:v>
      </x:c>
    </x:row>
    <x:row r="60" ht="30" customHeight="1">
      <x:c r="A60" s="22" t="str">
        <x:v>UC-10</x:v>
      </x:c>
      <x:c r="B60" s="22" t="str">
        <x:v>Manage Physician Schedules</x:v>
      </x:c>
      <x:c r="C60" s="22" t="n">
        <x:v>6</x:v>
      </x:c>
      <x:c r="D60" s="22" t="str">
        <x:v>Flag impacted booked visits as Needs Rescheduling</x:v>
      </x:c>
      <x:c r="E60" s="22" t="str">
        <x:v>Main</x:v>
      </x:c>
    </x:row>
    <x:row r="61" ht="30" customHeight="1">
      <x:c r="A61" s="22" t="str">
        <x:v>UC-11</x:v>
      </x:c>
      <x:c r="B61" s="22" t="str">
        <x:v>Send Appointment Notifications</x:v>
      </x:c>
      <x:c r="C61" s="22" t="n">
        <x:v>1</x:v>
      </x:c>
      <x:c r="D61" s="22" t="str">
        <x:v>HOAS writes an event into the outbox</x:v>
      </x:c>
      <x:c r="E61" s="22" t="str">
        <x:v>Main</x:v>
      </x:c>
    </x:row>
    <x:row r="62" ht="30" customHeight="1">
      <x:c r="A62" s="22" t="str">
        <x:v>UC-11</x:v>
      </x:c>
      <x:c r="B62" s="22" t="str">
        <x:v>Send Appointment Notifications</x:v>
      </x:c>
      <x:c r="C62" s="22" t="n">
        <x:v>2</x:v>
      </x:c>
      <x:c r="D62" s="22" t="str">
        <x:v>Prepare a minimal non-sensitive message</x:v>
      </x:c>
      <x:c r="E62" s="22" t="str">
        <x:v>Main</x:v>
      </x:c>
    </x:row>
    <x:row r="63" ht="30" customHeight="1">
      <x:c r="A63" s="22" t="str">
        <x:v>UC-11</x:v>
      </x:c>
      <x:c r="B63" s="22" t="str">
        <x:v>Send Appointment Notifications</x:v>
      </x:c>
      <x:c r="C63" s="22" t="n">
        <x:v>3</x:v>
      </x:c>
      <x:c r="D63" s="22" t="str">
        <x:v>Send the message through an external provider</x:v>
      </x:c>
      <x:c r="E63" s="22" t="str">
        <x:v>Main</x:v>
      </x:c>
    </x:row>
    <x:row r="64" ht="30" customHeight="1">
      <x:c r="A64" s="22" t="str">
        <x:v>UC-11</x:v>
      </x:c>
      <x:c r="B64" s="22" t="str">
        <x:v>Send Appointment Notifications</x:v>
      </x:c>
      <x:c r="C64" s="22" t="n">
        <x:v>4</x:v>
      </x:c>
      <x:c r="D64" s="22" t="str">
        <x:v>Receive the delivery response</x:v>
      </x:c>
      <x:c r="E64" s="22" t="str">
        <x:v>Main</x:v>
      </x:c>
    </x:row>
    <x:row r="65" ht="30" customHeight="1">
      <x:c r="A65" s="22" t="str">
        <x:v>UC-11</x:v>
      </x:c>
      <x:c r="B65" s="22" t="str">
        <x:v>Send Appointment Notifications</x:v>
      </x:c>
      <x:c r="C65" s="22" t="n">
        <x:v>5</x:v>
      </x:c>
      <x:c r="D65" s="22" t="str">
        <x:v>Store successful or failed delivery status</x:v>
      </x:c>
      <x:c r="E65" s="22" t="str">
        <x:v>Main</x:v>
      </x:c>
    </x:row>
    <x:row r="66" ht="30" customHeight="1">
      <x:c r="A66" s="22" t="str">
        <x:v>UC-11</x:v>
      </x:c>
      <x:c r="B66" s="22" t="str">
        <x:v>Send Appointment Notifications</x:v>
      </x:c>
      <x:c r="C66" s="22" t="n">
        <x:v>6</x:v>
      </x:c>
      <x:c r="D66" s="22" t="str">
        <x:v>Retry failed events under controlled rules</x:v>
      </x:c>
      <x:c r="E66" s="22" t="str">
        <x:v>Main</x:v>
      </x:c>
    </x:row>
    <x:row r="67" ht="30" customHeight="1">
      <x:c r="A67" s="22" t="str">
        <x:v>UC-12</x:v>
      </x:c>
      <x:c r="B67" s="22" t="str">
        <x:v>Generate Reports and Review Audit Logs</x:v>
      </x:c>
      <x:c r="C67" s="22" t="n">
        <x:v>1</x:v>
      </x:c>
      <x:c r="D67" s="22" t="str">
        <x:v>Administrator signs in</x:v>
      </x:c>
      <x:c r="E67" s="22" t="str">
        <x:v>Main</x:v>
      </x:c>
    </x:row>
    <x:row r="68" ht="30" customHeight="1">
      <x:c r="A68" s="22" t="str">
        <x:v>UC-12</x:v>
      </x:c>
      <x:c r="B68" s="22" t="str">
        <x:v>Generate Reports and Review Audit Logs</x:v>
      </x:c>
      <x:c r="C68" s="22" t="n">
        <x:v>2</x:v>
      </x:c>
      <x:c r="D68" s="22" t="str">
        <x:v>Request a daily or specialty-specific report</x:v>
      </x:c>
      <x:c r="E68" s="22" t="str">
        <x:v>Main</x:v>
      </x:c>
    </x:row>
    <x:row r="69" ht="30" customHeight="1">
      <x:c r="A69" s="22" t="str">
        <x:v>UC-12</x:v>
      </x:c>
      <x:c r="B69" s="22" t="str">
        <x:v>Generate Reports and Review Audit Logs</x:v>
      </x:c>
      <x:c r="C69" s="22" t="n">
        <x:v>3</x:v>
      </x:c>
      <x:c r="D69" s="22" t="str">
        <x:v>Aggregate counts by appointment status</x:v>
      </x:c>
      <x:c r="E69" s="22" t="str">
        <x:v>Main</x:v>
      </x:c>
    </x:row>
    <x:row r="70" ht="30" customHeight="1">
      <x:c r="A70" s="22" t="str">
        <x:v>UC-12</x:v>
      </x:c>
      <x:c r="B70" s="22" t="str">
        <x:v>Generate Reports and Review Audit Logs</x:v>
      </x:c>
      <x:c r="C70" s="22" t="n">
        <x:v>4</x:v>
      </x:c>
      <x:c r="D70" s="22" t="str">
        <x:v>Display counts and report timestamp</x:v>
      </x:c>
      <x:c r="E70" s="22" t="str">
        <x:v>Main</x:v>
      </x:c>
    </x:row>
    <x:row r="71" ht="30" customHeight="1">
      <x:c r="A71" s="22" t="str">
        <x:v>UC-12</x:v>
      </x:c>
      <x:c r="B71" s="22" t="str">
        <x:v>Generate Reports and Review Audit Logs</x:v>
      </x:c>
      <x:c r="C71" s="22" t="n">
        <x:v>5</x:v>
      </x:c>
      <x:c r="D71" s="22" t="str">
        <x:v>Request an audit record</x:v>
      </x:c>
      <x:c r="E71" s="22" t="str">
        <x:v>Main</x:v>
      </x:c>
    </x:row>
    <x:row r="72" ht="30" customHeight="1">
      <x:c r="A72" s="22" t="str">
        <x:v>UC-12</x:v>
      </x:c>
      <x:c r="B72" s="22" t="str">
        <x:v>Generate Reports and Review Audit Logs</x:v>
      </x:c>
      <x:c r="C72" s="22" t="n">
        <x:v>6</x:v>
      </x:c>
      <x:c r="D72" s="22" t="str">
        <x:v>Display the related recorded actions</x:v>
      </x:c>
      <x:c r="E72" s="22" t="str">
        <x:v>Main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35" customHeight="1">
      <x:c r="A1" s="4" t="str">
        <x:v>HOAS | 17_UC_Extensions</x:v>
      </x:c>
      <x:c r="B1" s="4"/>
      <x:c r="C1" s="4"/>
      <x:c r="D1" s="4"/>
      <x:c r="E1" s="4"/>
    </x:row>
    <x:row r="2" ht="30" customHeight="1">
      <x:c r="A2" s="10" t="str">
        <x:v>Alternative and exception paths with referenced main-flow steps</x:v>
      </x:c>
      <x:c r="B2" s="10"/>
      <x:c r="C2" s="10"/>
      <x:c r="D2" s="10"/>
      <x:c r="E2" s="10"/>
    </x:row>
    <x:row r="3" ht="38" customHeight="1">
      <x:c r="A3" s="27" t="str">
        <x:v>UC ID</x:v>
      </x:c>
      <x:c r="B3" s="27" t="str">
        <x:v>Step Ref</x:v>
      </x:c>
      <x:c r="C3" s="27" t="str">
        <x:v>Trigger</x:v>
      </x:c>
      <x:c r="D3" s="27" t="str">
        <x:v>System Response</x:v>
      </x:c>
      <x:c r="E3" s="27" t="str">
        <x:v>Type</x:v>
      </x:c>
    </x:row>
    <x:row r="4" ht="30" customHeight="1">
      <x:c r="A4" s="22" t="str">
        <x:v>UC-01</x:v>
      </x:c>
      <x:c r="B4" s="22" t="str">
        <x:v>3a</x:v>
      </x:c>
      <x:c r="C4" s="22" t="str">
        <x:v>Missing required information</x:v>
      </x:c>
      <x:c r="D4" s="22" t="str">
        <x:v>Show required fields; do not create the account</x:v>
      </x:c>
      <x:c r="E4" s="22" t="str">
        <x:v>Exception/Alternative</x:v>
      </x:c>
    </x:row>
    <x:row r="5" ht="30" customHeight="1">
      <x:c r="A5" s="22" t="str">
        <x:v>UC-01</x:v>
      </x:c>
      <x:c r="B5" s="22" t="str">
        <x:v>3b</x:v>
      </x:c>
      <x:c r="C5" s="22" t="str">
        <x:v>Duplicate telephone number</x:v>
      </x:c>
      <x:c r="D5" s="22" t="str">
        <x:v>Reject the duplicate registration</x:v>
      </x:c>
      <x:c r="E5" s="22" t="str">
        <x:v>Exception/Alternative</x:v>
      </x:c>
    </x:row>
    <x:row r="6" ht="30" customHeight="1">
      <x:c r="A6" s="22" t="str">
        <x:v>UC-01</x:v>
      </x:c>
      <x:c r="B6" s="22" t="str">
        <x:v>6a</x:v>
      </x:c>
      <x:c r="C6" s="22" t="str">
        <x:v>Incorrect password</x:v>
      </x:c>
      <x:c r="D6" s="22" t="str">
        <x:v>Reject sign-in without disclosing whether the account exists</x:v>
      </x:c>
      <x:c r="E6" s="22" t="str">
        <x:v>Exception/Alternative</x:v>
      </x:c>
    </x:row>
    <x:row r="7" ht="30" customHeight="1">
      <x:c r="A7" s="22" t="str">
        <x:v>UC-02</x:v>
      </x:c>
      <x:c r="B7" s="22" t="str">
        <x:v>4a</x:v>
      </x:c>
      <x:c r="C7" s="22" t="str">
        <x:v>Invalid input format</x:v>
      </x:c>
      <x:c r="D7" s="22" t="str">
        <x:v>Reject the changes and show a validation message</x:v>
      </x:c>
      <x:c r="E7" s="22" t="str">
        <x:v>Exception/Alternative</x:v>
      </x:c>
    </x:row>
    <x:row r="8" ht="30" customHeight="1">
      <x:c r="A8" s="22" t="str">
        <x:v>UC-02</x:v>
      </x:c>
      <x:c r="B8" s="22" t="str">
        <x:v>5a</x:v>
      </x:c>
      <x:c r="C8" s="22" t="str">
        <x:v>Update failed</x:v>
      </x:c>
      <x:c r="D8" s="22" t="str">
        <x:v>Preserve the previous field values</x:v>
      </x:c>
      <x:c r="E8" s="22" t="str">
        <x:v>Exception/Alternative</x:v>
      </x:c>
    </x:row>
    <x:row r="9" ht="30" customHeight="1">
      <x:c r="A9" s="22" t="str">
        <x:v>UC-03</x:v>
      </x:c>
      <x:c r="B9" s="22" t="str">
        <x:v>3a</x:v>
      </x:c>
      <x:c r="C9" s="22" t="str">
        <x:v>Doctor is unavailable</x:v>
      </x:c>
      <x:c r="D9" s="22" t="str">
        <x:v>Exclude unavailable slots from the results</x:v>
      </x:c>
      <x:c r="E9" s="22" t="str">
        <x:v>Exception/Alternative</x:v>
      </x:c>
    </x:row>
    <x:row r="10" ht="30" customHeight="1">
      <x:c r="A10" s="22" t="str">
        <x:v>UC-03</x:v>
      </x:c>
      <x:c r="B10" s="22" t="str">
        <x:v>4a</x:v>
      </x:c>
      <x:c r="C10" s="22" t="str">
        <x:v>No capacity remains</x:v>
      </x:c>
      <x:c r="D10" s="22" t="str">
        <x:v>Explain that slots are full and suggest another date</x:v>
      </x:c>
      <x:c r="E10" s="22" t="str">
        <x:v>Exception/Alternative</x:v>
      </x:c>
    </x:row>
    <x:row r="11" ht="30" customHeight="1">
      <x:c r="A11" s="22" t="str">
        <x:v>UC-04</x:v>
      </x:c>
      <x:c r="B11" s="22" t="str">
        <x:v>3a</x:v>
      </x:c>
      <x:c r="C11" s="22" t="str">
        <x:v>Selected slot filled during confirmation</x:v>
      </x:c>
      <x:c r="D11" s="22" t="str">
        <x:v>Reject booking and request a different slot</x:v>
      </x:c>
      <x:c r="E11" s="22" t="str">
        <x:v>Exception/Alternative</x:v>
      </x:c>
    </x:row>
    <x:row r="12" ht="30" customHeight="1">
      <x:c r="A12" s="22" t="str">
        <x:v>UC-04</x:v>
      </x:c>
      <x:c r="B12" s="22" t="str">
        <x:v>3b</x:v>
      </x:c>
      <x:c r="C12" s="22" t="str">
        <x:v>Doctor became unavailable</x:v>
      </x:c>
      <x:c r="D12" s="22" t="str">
        <x:v>Reject booking and propose another appointment</x:v>
      </x:c>
      <x:c r="E12" s="22" t="str">
        <x:v>Exception/Alternative</x:v>
      </x:c>
    </x:row>
    <x:row r="13" ht="30" customHeight="1">
      <x:c r="A13" s="22" t="str">
        <x:v>UC-04</x:v>
      </x:c>
      <x:c r="B13" s="22" t="str">
        <x:v>4a</x:v>
      </x:c>
      <x:c r="C13" s="22" t="str">
        <x:v>Persistence failure</x:v>
      </x:c>
      <x:c r="D13" s="22" t="str">
        <x:v>Roll back the operation without a booking or reserved place</x:v>
      </x:c>
      <x:c r="E13" s="22" t="str">
        <x:v>Exception/Alternative</x:v>
      </x:c>
    </x:row>
    <x:row r="14" ht="30" customHeight="1">
      <x:c r="A14" s="22" t="str">
        <x:v>UC-04</x:v>
      </x:c>
      <x:c r="B14" s="22" t="str">
        <x:v>6a</x:v>
      </x:c>
      <x:c r="C14" s="22" t="str">
        <x:v>Notification dispatch failed</x:v>
      </x:c>
      <x:c r="D14" s="22" t="str">
        <x:v>Keep the confirmed booking and record an outbox failure</x:v>
      </x:c>
      <x:c r="E14" s="22" t="str">
        <x:v>Exception/Alternative</x:v>
      </x:c>
    </x:row>
    <x:row r="15" ht="30" customHeight="1">
      <x:c r="A15" s="22" t="str">
        <x:v>UC-05</x:v>
      </x:c>
      <x:c r="B15" s="22" t="str">
        <x:v>3a</x:v>
      </x:c>
      <x:c r="C15" s="22" t="str">
        <x:v>No appointments found</x:v>
      </x:c>
      <x:c r="D15" s="22" t="str">
        <x:v>Display an empty state</x:v>
      </x:c>
      <x:c r="E15" s="22" t="str">
        <x:v>Exception/Alternative</x:v>
      </x:c>
    </x:row>
    <x:row r="16" ht="30" customHeight="1">
      <x:c r="A16" s="22" t="str">
        <x:v>UC-05</x:v>
      </x:c>
      <x:c r="B16" s="22" t="str">
        <x:v>3b</x:v>
      </x:c>
      <x:c r="C16" s="22" t="str">
        <x:v>Another patient’s appointment requested</x:v>
      </x:c>
      <x:c r="D16" s="22" t="str">
        <x:v>Deny access</x:v>
      </x:c>
      <x:c r="E16" s="22" t="str">
        <x:v>Exception/Alternative</x:v>
      </x:c>
    </x:row>
    <x:row r="17" ht="30" customHeight="1">
      <x:c r="A17" s="22" t="str">
        <x:v>UC-06</x:v>
      </x:c>
      <x:c r="B17" s="22" t="str">
        <x:v>3a</x:v>
      </x:c>
      <x:c r="C17" s="22" t="str">
        <x:v>Less than 12 hours remain</x:v>
      </x:c>
      <x:c r="D17" s="22" t="str">
        <x:v>Reject self-service cancellation and refer to reception</x:v>
      </x:c>
      <x:c r="E17" s="22" t="str">
        <x:v>Exception/Alternative</x:v>
      </x:c>
    </x:row>
    <x:row r="18" ht="30" customHeight="1">
      <x:c r="A18" s="22" t="str">
        <x:v>UC-06</x:v>
      </x:c>
      <x:c r="B18" s="22" t="str">
        <x:v>3b</x:v>
      </x:c>
      <x:c r="C18" s="22" t="str">
        <x:v>Requester does not own the booking</x:v>
      </x:c>
      <x:c r="D18" s="22" t="str">
        <x:v>Reject the request</x:v>
      </x:c>
      <x:c r="E18" s="22" t="str">
        <x:v>Exception/Alternative</x:v>
      </x:c>
    </x:row>
    <x:row r="19" ht="30" customHeight="1">
      <x:c r="A19" s="22" t="str">
        <x:v>UC-06</x:v>
      </x:c>
      <x:c r="B19" s="22" t="str">
        <x:v>5a</x:v>
      </x:c>
      <x:c r="C19" s="22" t="str">
        <x:v>Booking was already cancelled</x:v>
      </x:c>
      <x:c r="D19" s="22" t="str">
        <x:v>Do not restore the same capacity twice</x:v>
      </x:c>
      <x:c r="E19" s="22" t="str">
        <x:v>Exception/Alternative</x:v>
      </x:c>
    </x:row>
    <x:row r="20" ht="30" customHeight="1">
      <x:c r="A20" s="22" t="str">
        <x:v>UC-07</x:v>
      </x:c>
      <x:c r="B20" s="22" t="str">
        <x:v>3a</x:v>
      </x:c>
      <x:c r="C20" s="22" t="str">
        <x:v>New slot has no capacity</x:v>
      </x:c>
      <x:c r="D20" s="22" t="str">
        <x:v>Keep the original appointment</x:v>
      </x:c>
      <x:c r="E20" s="22" t="str">
        <x:v>Exception/Alternative</x:v>
      </x:c>
    </x:row>
    <x:row r="21" ht="30" customHeight="1">
      <x:c r="A21" s="22" t="str">
        <x:v>UC-07</x:v>
      </x:c>
      <x:c r="B21" s="22" t="str">
        <x:v>3b</x:v>
      </x:c>
      <x:c r="C21" s="22" t="str">
        <x:v>Less than 12 hours remain</x:v>
      </x:c>
      <x:c r="D21" s="22" t="str">
        <x:v>Refer the patient to reception</x:v>
      </x:c>
      <x:c r="E21" s="22" t="str">
        <x:v>Exception/Alternative</x:v>
      </x:c>
    </x:row>
    <x:row r="22" ht="30" customHeight="1">
      <x:c r="A22" s="22" t="str">
        <x:v>UC-07</x:v>
      </x:c>
      <x:c r="B22" s="22" t="str">
        <x:v>5a</x:v>
      </x:c>
      <x:c r="C22" s="22" t="str">
        <x:v>Failure in the transaction</x:v>
      </x:c>
      <x:c r="D22" s="22" t="str">
        <x:v>Roll back all changes and preserve the original slot</x:v>
      </x:c>
      <x:c r="E22" s="22" t="str">
        <x:v>Exception/Alternative</x:v>
      </x:c>
    </x:row>
    <x:row r="23" ht="30" customHeight="1">
      <x:c r="A23" s="22" t="str">
        <x:v>UC-08</x:v>
      </x:c>
      <x:c r="B23" s="22" t="str">
        <x:v>2a</x:v>
      </x:c>
      <x:c r="C23" s="22" t="str">
        <x:v>Appointment code not found</x:v>
      </x:c>
      <x:c r="D23" s="22" t="str">
        <x:v>Show a not-found message</x:v>
      </x:c>
      <x:c r="E23" s="22" t="str">
        <x:v>Exception/Alternative</x:v>
      </x:c>
    </x:row>
    <x:row r="24" ht="30" customHeight="1">
      <x:c r="A24" s="22" t="str">
        <x:v>UC-08</x:v>
      </x:c>
      <x:c r="B24" s="22" t="str">
        <x:v>5a</x:v>
      </x:c>
      <x:c r="C24" s="22" t="str">
        <x:v>Appointment was cancelled</x:v>
      </x:c>
      <x:c r="D24" s="22" t="str">
        <x:v>Reject check-in</x:v>
      </x:c>
      <x:c r="E24" s="22" t="str">
        <x:v>Exception/Alternative</x:v>
      </x:c>
    </x:row>
    <x:row r="25" ht="30" customHeight="1">
      <x:c r="A25" s="22" t="str">
        <x:v>UC-08</x:v>
      </x:c>
      <x:c r="B25" s="22" t="str">
        <x:v>6a</x:v>
      </x:c>
      <x:c r="C25" s="22" t="str">
        <x:v>Patient already checked in</x:v>
      </x:c>
      <x:c r="D25" s="22" t="str">
        <x:v>Do not duplicate check-in</x:v>
      </x:c>
      <x:c r="E25" s="22" t="str">
        <x:v>Exception/Alternative</x:v>
      </x:c>
    </x:row>
    <x:row r="26" ht="30" customHeight="1">
      <x:c r="A26" s="22" t="str">
        <x:v>UC-09</x:v>
      </x:c>
      <x:c r="B26" s="22" t="str">
        <x:v>3a</x:v>
      </x:c>
      <x:c r="C26" s="22" t="str">
        <x:v>Patient has not checked in</x:v>
      </x:c>
      <x:c r="D26" s="22" t="str">
        <x:v>Prevent starting the consultation</x:v>
      </x:c>
      <x:c r="E26" s="22" t="str">
        <x:v>Exception/Alternative</x:v>
      </x:c>
    </x:row>
    <x:row r="27" ht="30" customHeight="1">
      <x:c r="A27" s="22" t="str">
        <x:v>UC-09</x:v>
      </x:c>
      <x:c r="B27" s="22" t="str">
        <x:v>3b</x:v>
      </x:c>
      <x:c r="C27" s="22" t="str">
        <x:v>Appointment belongs to another doctor</x:v>
      </x:c>
      <x:c r="D27" s="22" t="str">
        <x:v>Deny access</x:v>
      </x:c>
      <x:c r="E27" s="22" t="str">
        <x:v>Exception/Alternative</x:v>
      </x:c>
    </x:row>
    <x:row r="28" ht="30" customHeight="1">
      <x:c r="A28" s="22" t="str">
        <x:v>UC-09</x:v>
      </x:c>
      <x:c r="B28" s="22" t="str">
        <x:v>6a</x:v>
      </x:c>
      <x:c r="C28" s="22" t="str">
        <x:v>Visit is already completed</x:v>
      </x:c>
      <x:c r="D28" s="22" t="str">
        <x:v>Prevent a duplicate completion</x:v>
      </x:c>
      <x:c r="E28" s="22" t="str">
        <x:v>Exception/Alternative</x:v>
      </x:c>
    </x:row>
    <x:row r="29" ht="30" customHeight="1">
      <x:c r="A29" s="22" t="str">
        <x:v>UC-10</x:v>
      </x:c>
      <x:c r="B29" s="22" t="str">
        <x:v>4a</x:v>
      </x:c>
      <x:c r="C29" s="22" t="str">
        <x:v>Work schedule overlaps</x:v>
      </x:c>
      <x:c r="D29" s="22" t="str">
        <x:v>Reject the conflicting slot</x:v>
      </x:c>
      <x:c r="E29" s="22" t="str">
        <x:v>Exception/Alternative</x:v>
      </x:c>
    </x:row>
    <x:row r="30" ht="30" customHeight="1">
      <x:c r="A30" s="22" t="str">
        <x:v>UC-10</x:v>
      </x:c>
      <x:c r="B30" s="22" t="str">
        <x:v>4b</x:v>
      </x:c>
      <x:c r="C30" s="22" t="str">
        <x:v>Slot contains patient bookings</x:v>
      </x:c>
      <x:c r="D30" s="22" t="str">
        <x:v>Require the affected bookings to be handled</x:v>
      </x:c>
      <x:c r="E30" s="22" t="str">
        <x:v>Exception/Alternative</x:v>
      </x:c>
    </x:row>
    <x:row r="31" ht="30" customHeight="1">
      <x:c r="A31" s="22" t="str">
        <x:v>UC-10</x:v>
      </x:c>
      <x:c r="B31" s="22" t="str">
        <x:v>6a</x:v>
      </x:c>
      <x:c r="C31" s="22" t="str">
        <x:v>Unexpected physician absence</x:v>
      </x:c>
      <x:c r="D31" s="22" t="str">
        <x:v>Log the change and flag affected bookings for follow-up</x:v>
      </x:c>
      <x:c r="E31" s="22" t="str">
        <x:v>Exception/Alternative</x:v>
      </x:c>
    </x:row>
    <x:row r="32" ht="30" customHeight="1">
      <x:c r="A32" s="22" t="str">
        <x:v>UC-11</x:v>
      </x:c>
      <x:c r="B32" s="22" t="str">
        <x:v>3a</x:v>
      </x:c>
      <x:c r="C32" s="22" t="str">
        <x:v>Notification service is unavailable</x:v>
      </x:c>
      <x:c r="D32" s="22" t="str">
        <x:v>Queue the event for another attempt</x:v>
      </x:c>
      <x:c r="E32" s="22" t="str">
        <x:v>Exception/Alternative</x:v>
      </x:c>
    </x:row>
    <x:row r="33" ht="30" customHeight="1">
      <x:c r="A33" s="22" t="str">
        <x:v>UC-11</x:v>
      </x:c>
      <x:c r="B33" s="22" t="str">
        <x:v>6a</x:v>
      </x:c>
      <x:c r="C33" s="22" t="str">
        <x:v>Duplicate event delivery</x:v>
      </x:c>
      <x:c r="D33" s="22" t="str">
        <x:v>Use event_id for idempotent processing</x:v>
      </x:c>
      <x:c r="E33" s="22" t="str">
        <x:v>Exception/Alternative</x:v>
      </x:c>
    </x:row>
    <x:row r="34" ht="30" customHeight="1">
      <x:c r="A34" s="22" t="str">
        <x:v>UC-12</x:v>
      </x:c>
      <x:c r="B34" s="22" t="str">
        <x:v>2a</x:v>
      </x:c>
      <x:c r="C34" s="22" t="str">
        <x:v>No records found</x:v>
      </x:c>
      <x:c r="D34" s="22" t="str">
        <x:v>Show zero totals without an error</x:v>
      </x:c>
      <x:c r="E34" s="22" t="str">
        <x:v>Exception/Alternative</x:v>
      </x:c>
    </x:row>
    <x:row r="35" ht="30" customHeight="1">
      <x:c r="A35" s="22" t="str">
        <x:v>UC-12</x:v>
      </x:c>
      <x:c r="B35" s="22" t="str">
        <x:v>5a</x:v>
      </x:c>
      <x:c r="C35" s="22" t="str">
        <x:v>User lacks required permission</x:v>
      </x:c>
      <x:c r="D35" s="22" t="str">
        <x:v>Deny access</x:v>
      </x:c>
      <x:c r="E35" s="22" t="str">
        <x:v>Exception/Alternative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5" customHeight="1">
      <x:c r="A1" s="4" t="str">
        <x:v>HOAS | 18_StateRules</x:v>
      </x:c>
      <x:c r="B1" s="4"/>
      <x:c r="C1" s="4"/>
      <x:c r="D1" s="4"/>
      <x:c r="E1" s="4"/>
      <x:c r="F1" s="4"/>
    </x:row>
    <x:row r="2" ht="30" customHeight="1">
      <x:c r="A2" s="10" t="str">
        <x:v>Appointment status transitions and associated business conditions</x:v>
      </x:c>
      <x:c r="B2" s="10"/>
      <x:c r="C2" s="10"/>
      <x:c r="D2" s="10"/>
      <x:c r="E2" s="10"/>
      <x:c r="F2" s="10"/>
    </x:row>
    <x:row r="3" ht="38" customHeight="1">
      <x:c r="A3" s="27" t="str">
        <x:v>State ID</x:v>
      </x:c>
      <x:c r="B3" s="27" t="str">
        <x:v>From</x:v>
      </x:c>
      <x:c r="C3" s="27" t="str">
        <x:v>To</x:v>
      </x:c>
      <x:c r="D3" s="27" t="str">
        <x:v>Condition</x:v>
      </x:c>
      <x:c r="E3" s="27" t="str">
        <x:v>Related UC</x:v>
      </x:c>
      <x:c r="F3" s="27" t="str">
        <x:v>Related Requirement</x:v>
      </x:c>
    </x:row>
    <x:row r="4" ht="30" customHeight="1">
      <x:c r="A4" s="22" t="str">
        <x:v>ST-01</x:v>
      </x:c>
      <x:c r="B4" s="22" t="str">
        <x:v>Created</x:v>
      </x:c>
      <x:c r="C4" s="22" t="str">
        <x:v>Confirmed</x:v>
      </x:c>
      <x:c r="D4" s="22" t="str">
        <x:v>Atomic capacity commit</x:v>
      </x:c>
      <x:c r="E4" s="22" t="str">
        <x:v>UC-04</x:v>
      </x:c>
      <x:c r="F4" s="22" t="str">
        <x:v>FR-4.1.1</x:v>
      </x:c>
    </x:row>
    <x:row r="5" ht="30" customHeight="1">
      <x:c r="A5" s="22" t="str">
        <x:v>ST-02</x:v>
      </x:c>
      <x:c r="B5" s="22" t="str">
        <x:v>Confirmed</x:v>
      </x:c>
      <x:c r="C5" s="22" t="str">
        <x:v>Checked-in</x:v>
      </x:c>
      <x:c r="D5" s="22" t="str">
        <x:v>Reception verified</x:v>
      </x:c>
      <x:c r="E5" s="22" t="str">
        <x:v>UC-08</x:v>
      </x:c>
      <x:c r="F5" s="22" t="str">
        <x:v>FR-8.1.1</x:v>
      </x:c>
    </x:row>
    <x:row r="6" ht="30" customHeight="1">
      <x:c r="A6" s="22" t="str">
        <x:v>ST-03</x:v>
      </x:c>
      <x:c r="B6" s="22" t="str">
        <x:v>Checked-in</x:v>
      </x:c>
      <x:c r="C6" s="22" t="str">
        <x:v>In Progress</x:v>
      </x:c>
      <x:c r="D6" s="22" t="str">
        <x:v>Assigned doctor begins</x:v>
      </x:c>
      <x:c r="E6" s="22" t="str">
        <x:v>UC-09</x:v>
      </x:c>
      <x:c r="F6" s="22" t="str">
        <x:v>FR-9.1.2</x:v>
      </x:c>
    </x:row>
    <x:row r="7" ht="30" customHeight="1">
      <x:c r="A7" s="22" t="str">
        <x:v>ST-04</x:v>
      </x:c>
      <x:c r="B7" s="22" t="str">
        <x:v>In Progress</x:v>
      </x:c>
      <x:c r="C7" s="22" t="str">
        <x:v>Completed</x:v>
      </x:c>
      <x:c r="D7" s="22" t="str">
        <x:v>Assigned doctor ends</x:v>
      </x:c>
      <x:c r="E7" s="22" t="str">
        <x:v>UC-09</x:v>
      </x:c>
      <x:c r="F7" s="22" t="str">
        <x:v>FR-9.1.3</x:v>
      </x:c>
    </x:row>
    <x:row r="8" ht="30" customHeight="1">
      <x:c r="A8" s="22" t="str">
        <x:v>ST-05</x:v>
      </x:c>
      <x:c r="B8" s="22" t="str">
        <x:v>Confirmed</x:v>
      </x:c>
      <x:c r="C8" s="22" t="str">
        <x:v>Cancelled</x:v>
      </x:c>
      <x:c r="D8" s="22" t="str">
        <x:v>Cancel at least 12h before visit</x:v>
      </x:c>
      <x:c r="E8" s="22" t="str">
        <x:v>UC-06</x:v>
      </x:c>
      <x:c r="F8" s="22" t="str">
        <x:v>FR-6.1.1</x:v>
      </x:c>
    </x:row>
    <x:row r="9" ht="30" customHeight="1">
      <x:c r="A9" s="22" t="str">
        <x:v>ST-06</x:v>
      </x:c>
      <x:c r="B9" s="22" t="str">
        <x:v>Confirmed</x:v>
      </x:c>
      <x:c r="C9" s="22" t="str">
        <x:v>No-show</x:v>
      </x:c>
      <x:c r="D9" s="22" t="str">
        <x:v>Hospital late/no-show policy - pending</x:v>
      </x:c>
      <x:c r="E9" s="22" t="str">
        <x:v>UC-08</x:v>
      </x:c>
      <x:c r="F9" s="22" t="str">
        <x:v>BR-06</x:v>
      </x:c>
    </x:row>
    <x:row r="10" ht="30" customHeight="1">
      <x:c r="A10" s="22" t="str">
        <x:v>ST-07</x:v>
      </x:c>
      <x:c r="B10" s="22" t="str">
        <x:v>Confirmed</x:v>
      </x:c>
      <x:c r="C10" s="22" t="str">
        <x:v>Needs Rescheduling</x:v>
      </x:c>
      <x:c r="D10" s="22" t="str">
        <x:v>Slot suspended due to doctor absence</x:v>
      </x:c>
      <x:c r="E10" s="22" t="str">
        <x:v>UC-10</x:v>
      </x:c>
      <x:c r="F10" s="22" t="str">
        <x:v>FR-10.1.2</x:v>
      </x:c>
    </x:row>
    <x:row r="11" ht="30" customHeight="1">
      <x:c r="A11" s="22" t="str">
        <x:v>ST-08</x:v>
      </x:c>
      <x:c r="B11" s="22" t="str">
        <x:v>Needs Rescheduling</x:v>
      </x:c>
      <x:c r="C11" s="22" t="str">
        <x:v>Confirmed</x:v>
      </x:c>
      <x:c r="D11" s="22" t="str">
        <x:v>Agreement + new slot assignment (future scope)</x:v>
      </x:c>
      <x:c r="E11" s="22" t="str">
        <x:v>UC-10</x:v>
      </x:c>
      <x:c r="F11" s="22" t="str">
        <x:v>BR-09</x:v>
      </x:c>
    </x:row>
    <x:row r="12" ht="30" customHeight="1">
      <x:c r="A12" s="22" t="str">
        <x:v>ST-09</x:v>
      </x:c>
      <x:c r="B12" s="22" t="str">
        <x:v>Confirmed</x:v>
      </x:c>
      <x:c r="C12" s="22" t="str">
        <x:v>Confirmed</x:v>
      </x:c>
      <x:c r="D12" s="22" t="str">
        <x:v>Atomic reschedule preserving ID</x:v>
      </x:c>
      <x:c r="E12" s="22" t="str">
        <x:v>UC-07</x:v>
      </x:c>
      <x:c r="F12" s="22" t="str">
        <x:v>FR-7.1.1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35" customHeight="1">
      <x:c r="A1" s="4" t="str">
        <x:v>HOAS | 19_Models</x:v>
      </x:c>
      <x:c r="B1" s="4"/>
      <x:c r="C1" s="4"/>
      <x:c r="D1" s="4"/>
      <x:c r="E1" s="4"/>
    </x:row>
    <x:row r="2" ht="30" customHeight="1">
      <x:c r="A2" s="10" t="str">
        <x:v>Nine models linked to use cases and risks, with editable DOT and rendered PNG files</x:v>
      </x:c>
      <x:c r="B2" s="10"/>
      <x:c r="C2" s="10"/>
      <x:c r="D2" s="10"/>
      <x:c r="E2" s="10"/>
    </x:row>
    <x:row r="3" ht="38" customHeight="1">
      <x:c r="A3" s="27" t="str">
        <x:v>Model ID</x:v>
      </x:c>
      <x:c r="B3" s="27" t="str">
        <x:v>Name</x:v>
      </x:c>
      <x:c r="C3" s="27" t="str">
        <x:v>Purpose</x:v>
      </x:c>
      <x:c r="D3" s="27" t="str">
        <x:v>Linked IDs</x:v>
      </x:c>
      <x:c r="E3" s="27" t="str">
        <x:v>Editable Source</x:v>
      </x:c>
    </x:row>
    <x:row r="4" ht="30" customHeight="1">
      <x:c r="A4" s="22" t="str">
        <x:v>M-01</x:v>
      </x:c>
      <x:c r="B4" s="22" t="str">
        <x:v>System Use Case Diagram</x:v>
      </x:c>
      <x:c r="C4" s="22" t="str">
        <x:v>Use cases by 5 actors</x:v>
      </x:c>
      <x:c r="D4" s="22" t="str">
        <x:v>UC-01..UC-12</x:v>
      </x:c>
      <x:c r="E4" s="22" t="str">
        <x:v>Graphviz DOT/PNG</x:v>
      </x:c>
    </x:row>
    <x:row r="5" ht="30" customHeight="1">
      <x:c r="A5" s="22" t="str">
        <x:v>M-02</x:v>
      </x:c>
      <x:c r="B5" s="22" t="str">
        <x:v>Booking Activity Diagram</x:v>
      </x:c>
      <x:c r="C5" s="22" t="str">
        <x:v>Check capacity then commit booking</x:v>
      </x:c>
      <x:c r="D5" s="22" t="str">
        <x:v>UC-04</x:v>
      </x:c>
      <x:c r="E5" s="22" t="str">
        <x:v>Graphviz DOT/PNG</x:v>
      </x:c>
    </x:row>
    <x:row r="6" ht="30" customHeight="1">
      <x:c r="A6" s="22" t="str">
        <x:v>M-03</x:v>
      </x:c>
      <x:c r="B6" s="22" t="str">
        <x:v>Reschedule Activity Diagram</x:v>
      </x:c>
      <x:c r="C6" s="22" t="str">
        <x:v>Eligibility, rollback</x:v>
      </x:c>
      <x:c r="D6" s="22" t="str">
        <x:v>UC-07</x:v>
      </x:c>
      <x:c r="E6" s="22" t="str">
        <x:v>Graphviz DOT/PNG</x:v>
      </x:c>
    </x:row>
    <x:row r="7" ht="30" customHeight="1">
      <x:c r="A7" s="22" t="str">
        <x:v>M-04</x:v>
      </x:c>
      <x:c r="B7" s="22" t="str">
        <x:v>Reception Check-in Activity</x:v>
      </x:c>
      <x:c r="C7" s="22" t="str">
        <x:v>Reception guard and status</x:v>
      </x:c>
      <x:c r="D7" s="22" t="str">
        <x:v>UC-08</x:v>
      </x:c>
      <x:c r="E7" s="22" t="str">
        <x:v>Graphviz DOT/PNG</x:v>
      </x:c>
    </x:row>
    <x:row r="8" ht="30" customHeight="1">
      <x:c r="A8" s="22" t="str">
        <x:v>M-05</x:v>
      </x:c>
      <x:c r="B8" s="22" t="str">
        <x:v>Appointment State Machine</x:v>
      </x:c>
      <x:c r="C8" s="22" t="str">
        <x:v>Appointment lifecycle</x:v>
      </x:c>
      <x:c r="D8" s="22" t="str">
        <x:v>UC-04; UC-06; UC-08; UC-09; UC-10</x:v>
      </x:c>
      <x:c r="E8" s="22" t="str">
        <x:v>Graphviz DOT/PNG</x:v>
      </x:c>
    </x:row>
    <x:row r="9" ht="30" customHeight="1">
      <x:c r="A9" s="22" t="str">
        <x:v>M-06</x:v>
      </x:c>
      <x:c r="B9" s="22" t="str">
        <x:v>DFD Context</x:v>
      </x:c>
      <x:c r="C9" s="22" t="str">
        <x:v>External actors, HOAS, notification</x:v>
      </x:c>
      <x:c r="D9" s="22" t="str">
        <x:v>UC-01..UC-12</x:v>
      </x:c>
      <x:c r="E9" s="22" t="str">
        <x:v>Graphviz DOT/PNG</x:v>
      </x:c>
    </x:row>
    <x:row r="10" ht="30" customHeight="1">
      <x:c r="A10" s="22" t="str">
        <x:v>M-07</x:v>
      </x:c>
      <x:c r="B10" s="22" t="str">
        <x:v>DFD Level 1</x:v>
      </x:c>
      <x:c r="C10" s="22" t="str">
        <x:v>Core processes and stores</x:v>
      </x:c>
      <x:c r="D10" s="22" t="str">
        <x:v>UC-01..UC-12</x:v>
      </x:c>
      <x:c r="E10" s="22" t="str">
        <x:v>Graphviz DOT/PNG</x:v>
      </x:c>
    </x:row>
    <x:row r="11" ht="30" customHeight="1">
      <x:c r="A11" s="22" t="str">
        <x:v>M-08</x:v>
      </x:c>
      <x:c r="B11" s="22" t="str">
        <x:v>Requirement Dependency</x:v>
      </x:c>
      <x:c r="C11" s="22" t="str">
        <x:v>Rules, FRs, NFRs, test families</x:v>
      </x:c>
      <x:c r="D11" s="22" t="str">
        <x:v>FR-4.1.2; FR-7.1.2; NFR-2.1</x:v>
      </x:c>
      <x:c r="E11" s="22" t="str">
        <x:v>Graphviz DOT/PNG</x:v>
      </x:c>
    </x:row>
    <x:row r="12" ht="30" customHeight="1">
      <x:c r="A12" s="22" t="str">
        <x:v>M-09</x:v>
      </x:c>
      <x:c r="B12" s="22" t="str">
        <x:v>Hazard Cause Tree</x:v>
      </x:c>
      <x:c r="C12" s="22" t="str">
        <x:v>Overbooking and data disclosure</x:v>
      </x:c>
      <x:c r="D12" s="22" t="str">
        <x:v>HZ-01; HZ-02</x:v>
      </x:c>
      <x:c r="E12" s="22" t="str">
        <x:v>Graphviz DOT/PNG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5" customHeight="1">
      <x:c r="A1" s="4" t="str">
        <x:v>HOAS | 20_Req_Test_Trace</x:v>
      </x:c>
      <x:c r="B1" s="4"/>
      <x:c r="C1" s="4"/>
      <x:c r="D1" s="4"/>
      <x:c r="E1" s="4"/>
      <x:c r="F1" s="4"/>
      <x:c r="G1" s="4"/>
    </x:row>
    <x:row r="2" ht="30" customHeight="1">
      <x:c r="A2" s="10" t="str">
        <x:v>Requirement -&gt; Source -&gt; Use Case -&gt; Test link; planned coverage is not execution</x:v>
      </x:c>
      <x:c r="B2" s="10"/>
      <x:c r="C2" s="10"/>
      <x:c r="D2" s="10"/>
      <x:c r="E2" s="10"/>
      <x:c r="F2" s="10"/>
      <x:c r="G2" s="10"/>
    </x:row>
    <x:row r="3" ht="38" customHeight="1">
      <x:c r="A3" s="27" t="str">
        <x:v>Req ID</x:v>
      </x:c>
      <x:c r="B3" s="27" t="str">
        <x:v>Source</x:v>
      </x:c>
      <x:c r="C3" s="27" t="str">
        <x:v>UC / Quality</x:v>
      </x:c>
      <x:c r="D3" s="27" t="str">
        <x:v>Linked planned Test IDs</x:v>
      </x:c>
      <x:c r="E3" s="27" t="str">
        <x:v>Prototype mapped TC</x:v>
      </x:c>
      <x:c r="F3" s="27" t="str">
        <x:v>Coverage</x:v>
      </x:c>
      <x:c r="G3" s="27" t="str">
        <x:v>Priority</x:v>
      </x:c>
    </x:row>
    <x:row r="4" ht="30" customHeight="1">
      <x:c r="A4" s="22" t="str">
        <x:v>FR-1.1.1</x:v>
      </x:c>
      <x:c r="B4" s="22" t="str">
        <x:v>STK-01</x:v>
      </x:c>
      <x:c r="C4" s="22" t="str">
        <x:v>UC-01</x:v>
      </x:c>
      <x:c r="D4" s="22" t="str">
        <x:v>TC-001</x:v>
      </x:c>
      <x:c r="E4" s="22"/>
      <x:c r="F4" s="22" t="str">
        <x:f>IF(D4="","Missing","Designed")</x:f>
        <x:v>Designed</x:v>
      </x:c>
      <x:c r="G4" s="22" t="str">
        <x:v>Must</x:v>
      </x:c>
    </x:row>
    <x:row r="5" ht="30" customHeight="1">
      <x:c r="A5" s="22" t="str">
        <x:v>FR-1.1.2</x:v>
      </x:c>
      <x:c r="B5" s="22" t="str">
        <x:v>STK-01</x:v>
      </x:c>
      <x:c r="C5" s="22" t="str">
        <x:v>UC-01</x:v>
      </x:c>
      <x:c r="D5" s="22" t="str">
        <x:v>TC-002; TC-003</x:v>
      </x:c>
      <x:c r="E5" s="22"/>
      <x:c r="F5" s="22" t="str">
        <x:f>IF(D5="","Missing","Designed")</x:f>
        <x:v>Designed</x:v>
      </x:c>
      <x:c r="G5" s="22" t="str">
        <x:v>Must</x:v>
      </x:c>
    </x:row>
    <x:row r="6" ht="30" customHeight="1">
      <x:c r="A6" s="22" t="str">
        <x:v>FR-1.1.3</x:v>
      </x:c>
      <x:c r="B6" s="22" t="str">
        <x:v>STK-05</x:v>
      </x:c>
      <x:c r="C6" s="22" t="str">
        <x:v>UC-01</x:v>
      </x:c>
      <x:c r="D6" s="22" t="str">
        <x:v>TC-004; TC-005</x:v>
      </x:c>
      <x:c r="E6" s="22"/>
      <x:c r="F6" s="22" t="str">
        <x:f>IF(D6="","Missing","Designed")</x:f>
        <x:v>Designed</x:v>
      </x:c>
      <x:c r="G6" s="22" t="str">
        <x:v>Must</x:v>
      </x:c>
    </x:row>
    <x:row r="7" ht="30" customHeight="1">
      <x:c r="A7" s="22" t="str">
        <x:v>FR-2.1.1</x:v>
      </x:c>
      <x:c r="B7" s="22" t="str">
        <x:v>STK-01</x:v>
      </x:c>
      <x:c r="C7" s="22" t="str">
        <x:v>UC-02</x:v>
      </x:c>
      <x:c r="D7" s="22" t="str">
        <x:v>TC-006</x:v>
      </x:c>
      <x:c r="E7" s="22"/>
      <x:c r="F7" s="22" t="str">
        <x:f>IF(D7="","Missing","Designed")</x:f>
        <x:v>Designed</x:v>
      </x:c>
      <x:c r="G7" s="22" t="str">
        <x:v>Should</x:v>
      </x:c>
    </x:row>
    <x:row r="8" ht="30" customHeight="1">
      <x:c r="A8" s="22" t="str">
        <x:v>FR-2.1.2</x:v>
      </x:c>
      <x:c r="B8" s="22" t="str">
        <x:v>STK-01</x:v>
      </x:c>
      <x:c r="C8" s="22" t="str">
        <x:v>UC-02</x:v>
      </x:c>
      <x:c r="D8" s="22" t="str">
        <x:v>TC-007; TC-008</x:v>
      </x:c>
      <x:c r="E8" s="22"/>
      <x:c r="F8" s="22" t="str">
        <x:f>IF(D8="","Missing","Designed")</x:f>
        <x:v>Designed</x:v>
      </x:c>
      <x:c r="G8" s="22" t="str">
        <x:v>Should</x:v>
      </x:c>
    </x:row>
    <x:row r="9" ht="30" customHeight="1">
      <x:c r="A9" s="22" t="str">
        <x:v>FR-3.1.1</x:v>
      </x:c>
      <x:c r="B9" s="22" t="str">
        <x:v>STK-01</x:v>
      </x:c>
      <x:c r="C9" s="22" t="str">
        <x:v>UC-03</x:v>
      </x:c>
      <x:c r="D9" s="22" t="str">
        <x:v>TC-009</x:v>
      </x:c>
      <x:c r="E9" s="22"/>
      <x:c r="F9" s="22" t="str">
        <x:f>IF(D9="","Missing","Designed")</x:f>
        <x:v>Designed</x:v>
      </x:c>
      <x:c r="G9" s="22" t="str">
        <x:v>Must</x:v>
      </x:c>
    </x:row>
    <x:row r="10" ht="30" customHeight="1">
      <x:c r="A10" s="22" t="str">
        <x:v>FR-3.1.2</x:v>
      </x:c>
      <x:c r="B10" s="22" t="str">
        <x:v>STK-01</x:v>
      </x:c>
      <x:c r="C10" s="22" t="str">
        <x:v>UC-03</x:v>
      </x:c>
      <x:c r="D10" s="22" t="str">
        <x:v>TC-010; TC-011</x:v>
      </x:c>
      <x:c r="E10" s="22" t="str">
        <x:v>TC-010</x:v>
      </x:c>
      <x:c r="F10" s="22" t="str">
        <x:f>IF(D10="","Missing","Designed")</x:f>
        <x:v>Designed</x:v>
      </x:c>
      <x:c r="G10" s="22" t="str">
        <x:v>Must</x:v>
      </x:c>
    </x:row>
    <x:row r="11" ht="30" customHeight="1">
      <x:c r="A11" s="22" t="str">
        <x:v>FR-3.1.3</x:v>
      </x:c>
      <x:c r="B11" s="22" t="str">
        <x:v>STK-01</x:v>
      </x:c>
      <x:c r="C11" s="22" t="str">
        <x:v>UC-03</x:v>
      </x:c>
      <x:c r="D11" s="22" t="str">
        <x:v>TC-012</x:v>
      </x:c>
      <x:c r="E11" s="22"/>
      <x:c r="F11" s="22" t="str">
        <x:f>IF(D11="","Missing","Designed")</x:f>
        <x:v>Designed</x:v>
      </x:c>
      <x:c r="G11" s="22" t="str">
        <x:v>Should</x:v>
      </x:c>
    </x:row>
    <x:row r="12" ht="30" customHeight="1">
      <x:c r="A12" s="22" t="str">
        <x:v>FR-4.1.1</x:v>
      </x:c>
      <x:c r="B12" s="22" t="str">
        <x:v>STK-01</x:v>
      </x:c>
      <x:c r="C12" s="22" t="str">
        <x:v>UC-04</x:v>
      </x:c>
      <x:c r="D12" s="22" t="str">
        <x:v>TC-013; TC-014</x:v>
      </x:c>
      <x:c r="E12" s="22" t="str">
        <x:v>TC-013; TC-014</x:v>
      </x:c>
      <x:c r="F12" s="22" t="str">
        <x:f>IF(D12="","Missing","Designed")</x:f>
        <x:v>Designed</x:v>
      </x:c>
      <x:c r="G12" s="22" t="str">
        <x:v>Must</x:v>
      </x:c>
    </x:row>
    <x:row r="13" ht="30" customHeight="1">
      <x:c r="A13" s="22" t="str">
        <x:v>FR-4.1.2</x:v>
      </x:c>
      <x:c r="B13" s="22" t="str">
        <x:v>STK-04</x:v>
      </x:c>
      <x:c r="C13" s="22" t="str">
        <x:v>UC-04</x:v>
      </x:c>
      <x:c r="D13" s="22" t="str">
        <x:v>TC-015; TC-016</x:v>
      </x:c>
      <x:c r="E13" s="22" t="str">
        <x:v>TC-015; TC-016</x:v>
      </x:c>
      <x:c r="F13" s="22" t="str">
        <x:f>IF(D13="","Missing","Designed")</x:f>
        <x:v>Designed</x:v>
      </x:c>
      <x:c r="G13" s="22" t="str">
        <x:v>Must</x:v>
      </x:c>
    </x:row>
    <x:row r="14" ht="30" customHeight="1">
      <x:c r="A14" s="22" t="str">
        <x:v>FR-4.1.3</x:v>
      </x:c>
      <x:c r="B14" s="22" t="str">
        <x:v>STK-04</x:v>
      </x:c>
      <x:c r="C14" s="22" t="str">
        <x:v>UC-04</x:v>
      </x:c>
      <x:c r="D14" s="22" t="str">
        <x:v>TC-017; TC-018</x:v>
      </x:c>
      <x:c r="E14" s="22" t="str">
        <x:v>TC-018</x:v>
      </x:c>
      <x:c r="F14" s="22" t="str">
        <x:f>IF(D14="","Missing","Designed")</x:f>
        <x:v>Designed</x:v>
      </x:c>
      <x:c r="G14" s="22" t="str">
        <x:v>Must</x:v>
      </x:c>
    </x:row>
    <x:row r="15" ht="30" customHeight="1">
      <x:c r="A15" s="22" t="str">
        <x:v>FR-5.1.1</x:v>
      </x:c>
      <x:c r="B15" s="22" t="str">
        <x:v>STK-01</x:v>
      </x:c>
      <x:c r="C15" s="22" t="str">
        <x:v>UC-05</x:v>
      </x:c>
      <x:c r="D15" s="22" t="str">
        <x:v>TC-019; TC-020</x:v>
      </x:c>
      <x:c r="E15" s="22" t="str">
        <x:v>TC-019; TC-020</x:v>
      </x:c>
      <x:c r="F15" s="22" t="str">
        <x:f>IF(D15="","Missing","Designed")</x:f>
        <x:v>Designed</x:v>
      </x:c>
      <x:c r="G15" s="22" t="str">
        <x:v>Must</x:v>
      </x:c>
    </x:row>
    <x:row r="16" ht="30" customHeight="1">
      <x:c r="A16" s="22" t="str">
        <x:v>FR-5.1.2</x:v>
      </x:c>
      <x:c r="B16" s="22" t="str">
        <x:v>STK-01</x:v>
      </x:c>
      <x:c r="C16" s="22" t="str">
        <x:v>UC-05</x:v>
      </x:c>
      <x:c r="D16" s="22" t="str">
        <x:v>TC-021</x:v>
      </x:c>
      <x:c r="E16" s="22"/>
      <x:c r="F16" s="22" t="str">
        <x:f>IF(D16="","Missing","Designed")</x:f>
        <x:v>Designed</x:v>
      </x:c>
      <x:c r="G16" s="22" t="str">
        <x:v>Should</x:v>
      </x:c>
    </x:row>
    <x:row r="17" ht="30" customHeight="1">
      <x:c r="A17" s="22" t="str">
        <x:v>FR-6.1.1</x:v>
      </x:c>
      <x:c r="B17" s="22" t="str">
        <x:v>STK-01</x:v>
      </x:c>
      <x:c r="C17" s="22" t="str">
        <x:v>UC-06</x:v>
      </x:c>
      <x:c r="D17" s="22" t="str">
        <x:v>TC-022; TC-023; TC-026</x:v>
      </x:c>
      <x:c r="E17" s="22" t="str">
        <x:v>TC-022; TC-023; TC-026</x:v>
      </x:c>
      <x:c r="F17" s="22" t="str">
        <x:f>IF(D17="","Missing","Designed")</x:f>
        <x:v>Designed</x:v>
      </x:c>
      <x:c r="G17" s="22" t="str">
        <x:v>Must</x:v>
      </x:c>
    </x:row>
    <x:row r="18" ht="30" customHeight="1">
      <x:c r="A18" s="22" t="str">
        <x:v>FR-6.1.2</x:v>
      </x:c>
      <x:c r="B18" s="22" t="str">
        <x:v>STK-04</x:v>
      </x:c>
      <x:c r="C18" s="22" t="str">
        <x:v>UC-06</x:v>
      </x:c>
      <x:c r="D18" s="22" t="str">
        <x:v>TC-024; TC-025</x:v>
      </x:c>
      <x:c r="E18" s="22" t="str">
        <x:v>TC-024; TC-025</x:v>
      </x:c>
      <x:c r="F18" s="22" t="str">
        <x:f>IF(D18="","Missing","Designed")</x:f>
        <x:v>Designed</x:v>
      </x:c>
      <x:c r="G18" s="22" t="str">
        <x:v>Must</x:v>
      </x:c>
    </x:row>
    <x:row r="19" ht="30" customHeight="1">
      <x:c r="A19" s="22" t="str">
        <x:v>FR-7.1.1</x:v>
      </x:c>
      <x:c r="B19" s="22" t="str">
        <x:v>STK-01</x:v>
      </x:c>
      <x:c r="C19" s="22" t="str">
        <x:v>UC-07</x:v>
      </x:c>
      <x:c r="D19" s="22" t="str">
        <x:v>TC-027</x:v>
      </x:c>
      <x:c r="E19" s="22" t="str">
        <x:v>TC-027</x:v>
      </x:c>
      <x:c r="F19" s="22" t="str">
        <x:f>IF(D19="","Missing","Designed")</x:f>
        <x:v>Designed</x:v>
      </x:c>
      <x:c r="G19" s="22" t="str">
        <x:v>Must</x:v>
      </x:c>
    </x:row>
    <x:row r="20" ht="30" customHeight="1">
      <x:c r="A20" s="22" t="str">
        <x:v>FR-7.1.2</x:v>
      </x:c>
      <x:c r="B20" s="22" t="str">
        <x:v>STK-04</x:v>
      </x:c>
      <x:c r="C20" s="22" t="str">
        <x:v>UC-07</x:v>
      </x:c>
      <x:c r="D20" s="22" t="str">
        <x:v>TC-028; TC-029; TC-030</x:v>
      </x:c>
      <x:c r="E20" s="22" t="str">
        <x:v>TC-029; TC-030</x:v>
      </x:c>
      <x:c r="F20" s="22" t="str">
        <x:f>IF(D20="","Missing","Designed")</x:f>
        <x:v>Designed</x:v>
      </x:c>
      <x:c r="G20" s="22" t="str">
        <x:v>Must</x:v>
      </x:c>
    </x:row>
    <x:row r="21" ht="30" customHeight="1">
      <x:c r="A21" s="22" t="str">
        <x:v>FR-8.1.1</x:v>
      </x:c>
      <x:c r="B21" s="22" t="str">
        <x:v>STK-02</x:v>
      </x:c>
      <x:c r="C21" s="22" t="str">
        <x:v>UC-08</x:v>
      </x:c>
      <x:c r="D21" s="22" t="str">
        <x:v>TC-031</x:v>
      </x:c>
      <x:c r="E21" s="22" t="str">
        <x:v>TC-031</x:v>
      </x:c>
      <x:c r="F21" s="22" t="str">
        <x:f>IF(D21="","Missing","Designed")</x:f>
        <x:v>Designed</x:v>
      </x:c>
      <x:c r="G21" s="22" t="str">
        <x:v>Must</x:v>
      </x:c>
    </x:row>
    <x:row r="22" ht="30" customHeight="1">
      <x:c r="A22" s="22" t="str">
        <x:v>FR-8.1.2</x:v>
      </x:c>
      <x:c r="B22" s="22" t="str">
        <x:v>STK-02</x:v>
      </x:c>
      <x:c r="C22" s="22" t="str">
        <x:v>UC-08</x:v>
      </x:c>
      <x:c r="D22" s="22" t="str">
        <x:v>TC-032; TC-033; TC-034</x:v>
      </x:c>
      <x:c r="E22" s="22" t="str">
        <x:v>TC-033</x:v>
      </x:c>
      <x:c r="F22" s="22" t="str">
        <x:f>IF(D22="","Missing","Designed")</x:f>
        <x:v>Designed</x:v>
      </x:c>
      <x:c r="G22" s="22" t="str">
        <x:v>Must</x:v>
      </x:c>
    </x:row>
    <x:row r="23" ht="30" customHeight="1">
      <x:c r="A23" s="22" t="str">
        <x:v>FR-9.1.1</x:v>
      </x:c>
      <x:c r="B23" s="22" t="str">
        <x:v>STK-03</x:v>
      </x:c>
      <x:c r="C23" s="22" t="str">
        <x:v>UC-09</x:v>
      </x:c>
      <x:c r="D23" s="22" t="str">
        <x:v>TC-035; TC-036</x:v>
      </x:c>
      <x:c r="E23" s="22" t="str">
        <x:v>TC-035</x:v>
      </x:c>
      <x:c r="F23" s="22" t="str">
        <x:f>IF(D23="","Missing","Designed")</x:f>
        <x:v>Designed</x:v>
      </x:c>
      <x:c r="G23" s="22" t="str">
        <x:v>Must</x:v>
      </x:c>
    </x:row>
    <x:row r="24" ht="30" customHeight="1">
      <x:c r="A24" s="22" t="str">
        <x:v>FR-9.1.2</x:v>
      </x:c>
      <x:c r="B24" s="22" t="str">
        <x:v>STK-03</x:v>
      </x:c>
      <x:c r="C24" s="22" t="str">
        <x:v>UC-09</x:v>
      </x:c>
      <x:c r="D24" s="22" t="str">
        <x:v>TC-037; TC-038</x:v>
      </x:c>
      <x:c r="E24" s="22" t="str">
        <x:v>TC-037</x:v>
      </x:c>
      <x:c r="F24" s="22" t="str">
        <x:f>IF(D24="","Missing","Designed")</x:f>
        <x:v>Designed</x:v>
      </x:c>
      <x:c r="G24" s="22" t="str">
        <x:v>Must</x:v>
      </x:c>
    </x:row>
    <x:row r="25" ht="30" customHeight="1">
      <x:c r="A25" s="22" t="str">
        <x:v>FR-9.1.3</x:v>
      </x:c>
      <x:c r="B25" s="22" t="str">
        <x:v>STK-03</x:v>
      </x:c>
      <x:c r="C25" s="22" t="str">
        <x:v>UC-09</x:v>
      </x:c>
      <x:c r="D25" s="22" t="str">
        <x:v>TC-039</x:v>
      </x:c>
      <x:c r="E25" s="22" t="str">
        <x:v>TC-039</x:v>
      </x:c>
      <x:c r="F25" s="22" t="str">
        <x:f>IF(D25="","Missing","Designed")</x:f>
        <x:v>Designed</x:v>
      </x:c>
      <x:c r="G25" s="22" t="str">
        <x:v>Must</x:v>
      </x:c>
    </x:row>
    <x:row r="26" ht="30" customHeight="1">
      <x:c r="A26" s="22" t="str">
        <x:v>FR-10.1.1</x:v>
      </x:c>
      <x:c r="B26" s="22" t="str">
        <x:v>STK-05</x:v>
      </x:c>
      <x:c r="C26" s="22" t="str">
        <x:v>UC-10</x:v>
      </x:c>
      <x:c r="D26" s="22" t="str">
        <x:v>TC-040; TC-041</x:v>
      </x:c>
      <x:c r="E26" s="22" t="str">
        <x:v>TC-040</x:v>
      </x:c>
      <x:c r="F26" s="22" t="str">
        <x:f>IF(D26="","Missing","Designed")</x:f>
        <x:v>Designed</x:v>
      </x:c>
      <x:c r="G26" s="22" t="str">
        <x:v>Must</x:v>
      </x:c>
    </x:row>
    <x:row r="27" ht="30" customHeight="1">
      <x:c r="A27" s="22" t="str">
        <x:v>FR-10.1.2</x:v>
      </x:c>
      <x:c r="B27" s="22" t="str">
        <x:v>STK-04</x:v>
      </x:c>
      <x:c r="C27" s="22" t="str">
        <x:v>UC-10</x:v>
      </x:c>
      <x:c r="D27" s="22" t="str">
        <x:v>TC-042</x:v>
      </x:c>
      <x:c r="E27" s="22" t="str">
        <x:v>TC-042</x:v>
      </x:c>
      <x:c r="F27" s="22" t="str">
        <x:f>IF(D27="","Missing","Designed")</x:f>
        <x:v>Designed</x:v>
      </x:c>
      <x:c r="G27" s="22" t="str">
        <x:v>Must</x:v>
      </x:c>
    </x:row>
    <x:row r="28" ht="30" customHeight="1">
      <x:c r="A28" s="22" t="str">
        <x:v>FR-10.1.3</x:v>
      </x:c>
      <x:c r="B28" s="22" t="str">
        <x:v>STK-06</x:v>
      </x:c>
      <x:c r="C28" s="22" t="str">
        <x:v>UC-10</x:v>
      </x:c>
      <x:c r="D28" s="22" t="str">
        <x:v>TC-043</x:v>
      </x:c>
      <x:c r="E28" s="22"/>
      <x:c r="F28" s="22" t="str">
        <x:f>IF(D28="","Missing","Designed")</x:f>
        <x:v>Designed</x:v>
      </x:c>
      <x:c r="G28" s="22" t="str">
        <x:v>Must</x:v>
      </x:c>
    </x:row>
    <x:row r="29" ht="30" customHeight="1">
      <x:c r="A29" s="22" t="str">
        <x:v>FR-11.1.1</x:v>
      </x:c>
      <x:c r="B29" s="22" t="str">
        <x:v>STK-01</x:v>
      </x:c>
      <x:c r="C29" s="22" t="str">
        <x:v>UC-11</x:v>
      </x:c>
      <x:c r="D29" s="22" t="str">
        <x:v>TC-044; TC-045</x:v>
      </x:c>
      <x:c r="E29" s="22" t="str">
        <x:v>TC-044</x:v>
      </x:c>
      <x:c r="F29" s="22" t="str">
        <x:f>IF(D29="","Missing","Designed")</x:f>
        <x:v>Designed</x:v>
      </x:c>
      <x:c r="G29" s="22" t="str">
        <x:v>Should</x:v>
      </x:c>
    </x:row>
    <x:row r="30" ht="30" customHeight="1">
      <x:c r="A30" s="22" t="str">
        <x:v>FR-11.1.2</x:v>
      </x:c>
      <x:c r="B30" s="22" t="str">
        <x:v>STK-05</x:v>
      </x:c>
      <x:c r="C30" s="22" t="str">
        <x:v>UC-11</x:v>
      </x:c>
      <x:c r="D30" s="22" t="str">
        <x:v>TC-046; TC-047</x:v>
      </x:c>
      <x:c r="E30" s="22" t="str">
        <x:v>TC-046; TC-047</x:v>
      </x:c>
      <x:c r="F30" s="22" t="str">
        <x:f>IF(D30="","Missing","Designed")</x:f>
        <x:v>Designed</x:v>
      </x:c>
      <x:c r="G30" s="22" t="str">
        <x:v>Should</x:v>
      </x:c>
    </x:row>
    <x:row r="31" ht="30" customHeight="1">
      <x:c r="A31" s="22" t="str">
        <x:v>FR-12.1.1</x:v>
      </x:c>
      <x:c r="B31" s="22" t="str">
        <x:v>STK-04</x:v>
      </x:c>
      <x:c r="C31" s="22" t="str">
        <x:v>UC-12</x:v>
      </x:c>
      <x:c r="D31" s="22" t="str">
        <x:v>TC-048</x:v>
      </x:c>
      <x:c r="E31" s="22" t="str">
        <x:v>TC-048</x:v>
      </x:c>
      <x:c r="F31" s="22" t="str">
        <x:f>IF(D31="","Missing","Designed")</x:f>
        <x:v>Designed</x:v>
      </x:c>
      <x:c r="G31" s="22" t="str">
        <x:v>Should</x:v>
      </x:c>
    </x:row>
    <x:row r="32" ht="30" customHeight="1">
      <x:c r="A32" s="22" t="str">
        <x:v>FR-12.1.2</x:v>
      </x:c>
      <x:c r="B32" s="22" t="str">
        <x:v>STK-06</x:v>
      </x:c>
      <x:c r="C32" s="22" t="str">
        <x:v>UC-12</x:v>
      </x:c>
      <x:c r="D32" s="22" t="str">
        <x:v>TC-049</x:v>
      </x:c>
      <x:c r="E32" s="22"/>
      <x:c r="F32" s="22" t="str">
        <x:f>IF(D32="","Missing","Designed")</x:f>
        <x:v>Designed</x:v>
      </x:c>
      <x:c r="G32" s="22" t="str">
        <x:v>Must</x:v>
      </x:c>
    </x:row>
    <x:row r="33" ht="30" customHeight="1">
      <x:c r="A33" s="22" t="str">
        <x:v>FR-12.1.3</x:v>
      </x:c>
      <x:c r="B33" s="22" t="str">
        <x:v>STK-06</x:v>
      </x:c>
      <x:c r="C33" s="22" t="str">
        <x:v>UC-12</x:v>
      </x:c>
      <x:c r="D33" s="22" t="str">
        <x:v>TC-050</x:v>
      </x:c>
      <x:c r="E33" s="22" t="str">
        <x:v>TC-050</x:v>
      </x:c>
      <x:c r="F33" s="22" t="str">
        <x:f>IF(D33="","Missing","Designed")</x:f>
        <x:v>Designed</x:v>
      </x:c>
      <x:c r="G33" s="22" t="str">
        <x:v>Must</x:v>
      </x:c>
    </x:row>
    <x:row r="34" ht="30" customHeight="1">
      <x:c r="A34" s="22" t="str">
        <x:v>NFR-1.1</x:v>
      </x:c>
      <x:c r="B34" s="22" t="str">
        <x:v>STK-04</x:v>
      </x:c>
      <x:c r="C34" s="22" t="str">
        <x:v>NFR / Quality</x:v>
      </x:c>
      <x:c r="D34" s="22"/>
      <x:c r="E34" s="22"/>
      <x:c r="F34" s="22" t="str">
        <x:f>IF(D34="","Missing","Designed")</x:f>
        <x:v>Missing</x:v>
      </x:c>
      <x:c r="G34" s="22" t="str">
        <x:v>Must</x:v>
      </x:c>
    </x:row>
    <x:row r="35" ht="30" customHeight="1">
      <x:c r="A35" s="22" t="str">
        <x:v>NFR-1.2</x:v>
      </x:c>
      <x:c r="B35" s="22" t="str">
        <x:v>STK-04</x:v>
      </x:c>
      <x:c r="C35" s="22" t="str">
        <x:v>NFR / Quality</x:v>
      </x:c>
      <x:c r="D35" s="22"/>
      <x:c r="E35" s="22"/>
      <x:c r="F35" s="22" t="str">
        <x:f>IF(D35="","Missing","Designed")</x:f>
        <x:v>Missing</x:v>
      </x:c>
      <x:c r="G35" s="22" t="str">
        <x:v>Should</x:v>
      </x:c>
    </x:row>
    <x:row r="36" ht="30" customHeight="1">
      <x:c r="A36" s="22" t="str">
        <x:v>NFR-2.1</x:v>
      </x:c>
      <x:c r="B36" s="22" t="str">
        <x:v>STK-04</x:v>
      </x:c>
      <x:c r="C36" s="22" t="str">
        <x:v>NFR / Quality</x:v>
      </x:c>
      <x:c r="D36" s="22" t="str">
        <x:v>TC-015; TC-016</x:v>
      </x:c>
      <x:c r="E36" s="22" t="str">
        <x:v>TC-015; TC-016</x:v>
      </x:c>
      <x:c r="F36" s="22" t="str">
        <x:f>IF(D36="","Missing","Designed")</x:f>
        <x:v>Designed</x:v>
      </x:c>
      <x:c r="G36" s="22" t="str">
        <x:v>Must</x:v>
      </x:c>
    </x:row>
    <x:row r="37" ht="30" customHeight="1">
      <x:c r="A37" s="22" t="str">
        <x:v>NFR-2.2</x:v>
      </x:c>
      <x:c r="B37" s="22" t="str">
        <x:v>STK-04</x:v>
      </x:c>
      <x:c r="C37" s="22" t="str">
        <x:v>NFR / Quality</x:v>
      </x:c>
      <x:c r="D37" s="22" t="str">
        <x:v>TC-028; TC-029; TC-030</x:v>
      </x:c>
      <x:c r="E37" s="22" t="str">
        <x:v>TC-029; TC-030</x:v>
      </x:c>
      <x:c r="F37" s="22" t="str">
        <x:f>IF(D37="","Missing","Designed")</x:f>
        <x:v>Designed</x:v>
      </x:c>
      <x:c r="G37" s="22" t="str">
        <x:v>Must</x:v>
      </x:c>
    </x:row>
    <x:row r="38" ht="30" customHeight="1">
      <x:c r="A38" s="22" t="str">
        <x:v>NFR-3.1</x:v>
      </x:c>
      <x:c r="B38" s="22" t="str">
        <x:v>STK-06</x:v>
      </x:c>
      <x:c r="C38" s="22" t="str">
        <x:v>NFR / Quality</x:v>
      </x:c>
      <x:c r="D38" s="22" t="str">
        <x:v>TC-020; TC-025; TC-036; TC-050</x:v>
      </x:c>
      <x:c r="E38" s="22" t="str">
        <x:v>TC-020; TC-025; TC-050</x:v>
      </x:c>
      <x:c r="F38" s="22" t="str">
        <x:f>IF(D38="","Missing","Designed")</x:f>
        <x:v>Designed</x:v>
      </x:c>
      <x:c r="G38" s="22" t="str">
        <x:v>Must</x:v>
      </x:c>
    </x:row>
    <x:row r="39" ht="30" customHeight="1">
      <x:c r="A39" s="22" t="str">
        <x:v>NFR-3.2</x:v>
      </x:c>
      <x:c r="B39" s="22" t="str">
        <x:v>STK-06</x:v>
      </x:c>
      <x:c r="C39" s="22" t="str">
        <x:v>NFR / Quality</x:v>
      </x:c>
      <x:c r="D39" s="22"/>
      <x:c r="E39" s="22"/>
      <x:c r="F39" s="22" t="str">
        <x:f>IF(D39="","Missing","Designed")</x:f>
        <x:v>Missing</x:v>
      </x:c>
      <x:c r="G39" s="22" t="str">
        <x:v>Must</x:v>
      </x:c>
    </x:row>
    <x:row r="40" ht="30" customHeight="1">
      <x:c r="A40" s="22" t="str">
        <x:v>NFR-4.1</x:v>
      </x:c>
      <x:c r="B40" s="22" t="str">
        <x:v>STK-05</x:v>
      </x:c>
      <x:c r="C40" s="22" t="str">
        <x:v>NFR / Quality</x:v>
      </x:c>
      <x:c r="D40" s="22"/>
      <x:c r="E40" s="22"/>
      <x:c r="F40" s="22" t="str">
        <x:f>IF(D40="","Missing","Designed")</x:f>
        <x:v>Missing</x:v>
      </x:c>
      <x:c r="G40" s="22" t="str">
        <x:v>Should</x:v>
      </x:c>
    </x:row>
    <x:row r="41" ht="30" customHeight="1">
      <x:c r="A41" s="22" t="str">
        <x:v>NFR-5.1</x:v>
      </x:c>
      <x:c r="B41" s="22" t="str">
        <x:v>STK-01</x:v>
      </x:c>
      <x:c r="C41" s="22" t="str">
        <x:v>NFR / Quality</x:v>
      </x:c>
      <x:c r="D41" s="22"/>
      <x:c r="E41" s="22"/>
      <x:c r="F41" s="22" t="str">
        <x:f>IF(D41="","Missing","Designed")</x:f>
        <x:v>Missing</x:v>
      </x:c>
      <x:c r="G41" s="22" t="str">
        <x:v>Should</x:v>
      </x:c>
    </x:row>
    <x:row r="42" ht="30" customHeight="1">
      <x:c r="A42" s="22" t="str">
        <x:v>NFR-6.1</x:v>
      </x:c>
      <x:c r="B42" s="22" t="str">
        <x:v>STK-06</x:v>
      </x:c>
      <x:c r="C42" s="22" t="str">
        <x:v>NFR / Quality</x:v>
      </x:c>
      <x:c r="D42" s="22" t="str">
        <x:v>TC-043</x:v>
      </x:c>
      <x:c r="E42" s="22"/>
      <x:c r="F42" s="22" t="str">
        <x:f>IF(D42="","Missing","Designed")</x:f>
        <x:v>Designed</x:v>
      </x:c>
      <x:c r="G42" s="22" t="str">
        <x:v>Must</x:v>
      </x:c>
    </x:row>
    <x:row r="43" ht="30" customHeight="1">
      <x:c r="A43" s="22" t="str">
        <x:v>NFR-7.1</x:v>
      </x:c>
      <x:c r="B43" s="22" t="str">
        <x:v>STK-05</x:v>
      </x:c>
      <x:c r="C43" s="22" t="str">
        <x:v>NFR / Quality</x:v>
      </x:c>
      <x:c r="D43" s="22" t="str">
        <x:v>TC-046</x:v>
      </x:c>
      <x:c r="E43" s="22" t="str">
        <x:v>TC-046</x:v>
      </x:c>
      <x:c r="F43" s="22" t="str">
        <x:f>IF(D43="","Missing","Designed")</x:f>
        <x:v>Designed</x:v>
      </x:c>
      <x:c r="G43" s="22" t="str">
        <x:v>Should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5" customHeight="1">
      <x:c r="A1" s="4" t="str">
        <x:v>HOAS | 21_UC_Test_Trace</x:v>
      </x:c>
      <x:c r="B1" s="4"/>
      <x:c r="C1" s="4"/>
      <x:c r="D1" s="4"/>
      <x:c r="E1" s="4"/>
      <x:c r="F1" s="4"/>
    </x:row>
    <x:row r="2" ht="30" customHeight="1">
      <x:c r="A2" s="10" t="str">
        <x:v>Use Case scenario counts vs planned test cases</x:v>
      </x:c>
      <x:c r="B2" s="10"/>
      <x:c r="C2" s="10"/>
      <x:c r="D2" s="10"/>
      <x:c r="E2" s="10"/>
      <x:c r="F2" s="10"/>
    </x:row>
    <x:row r="3" ht="38" customHeight="1">
      <x:c r="A3" s="27" t="str">
        <x:v>UC ID</x:v>
      </x:c>
      <x:c r="B3" s="27" t="str">
        <x:v>Title</x:v>
      </x:c>
      <x:c r="C3" s="27" t="str">
        <x:v>Main + extensions</x:v>
      </x:c>
      <x:c r="D3" s="27" t="str">
        <x:v>Designed TCs</x:v>
      </x:c>
      <x:c r="E3" s="27" t="str">
        <x:v>TC IDs</x:v>
      </x:c>
      <x:c r="F3" s="27" t="str">
        <x:v>Status</x:v>
      </x:c>
    </x:row>
    <x:row r="4" ht="30" customHeight="1">
      <x:c r="A4" s="22" t="str">
        <x:v>UC-01</x:v>
      </x:c>
      <x:c r="B4" s="22" t="str">
        <x:v>Register and Sign In</x:v>
      </x:c>
      <x:c r="C4" s="22" t="n">
        <x:v>4</x:v>
      </x:c>
      <x:c r="D4" s="22" t="n">
        <x:v>5</x:v>
      </x:c>
      <x:c r="E4" s="22" t="str">
        <x:v>TC-001; TC-002; TC-003; TC-004; TC-005</x:v>
      </x:c>
      <x:c r="F4" s="22" t="str">
        <x:v>Designed (not all executed)</x:v>
      </x:c>
    </x:row>
    <x:row r="5" ht="30" customHeight="1">
      <x:c r="A5" s="22" t="str">
        <x:v>UC-02</x:v>
      </x:c>
      <x:c r="B5" s="22" t="str">
        <x:v>Manage Patient Profile</x:v>
      </x:c>
      <x:c r="C5" s="22" t="n">
        <x:v>3</x:v>
      </x:c>
      <x:c r="D5" s="22" t="n">
        <x:v>3</x:v>
      </x:c>
      <x:c r="E5" s="22" t="str">
        <x:v>TC-006; TC-007; TC-008</x:v>
      </x:c>
      <x:c r="F5" s="22" t="str">
        <x:v>Designed (not all executed)</x:v>
      </x:c>
    </x:row>
    <x:row r="6" ht="30" customHeight="1">
      <x:c r="A6" s="22" t="str">
        <x:v>UC-03</x:v>
      </x:c>
      <x:c r="B6" s="22" t="str">
        <x:v>Search Doctors and Available Slots</x:v>
      </x:c>
      <x:c r="C6" s="22" t="n">
        <x:v>3</x:v>
      </x:c>
      <x:c r="D6" s="22" t="n">
        <x:v>4</x:v>
      </x:c>
      <x:c r="E6" s="22" t="str">
        <x:v>TC-009; TC-010; TC-011; TC-012</x:v>
      </x:c>
      <x:c r="F6" s="22" t="str">
        <x:v>Designed (not all executed)</x:v>
      </x:c>
    </x:row>
    <x:row r="7" ht="30" customHeight="1">
      <x:c r="A7" s="22" t="str">
        <x:v>UC-04</x:v>
      </x:c>
      <x:c r="B7" s="22" t="str">
        <x:v>Book an Appointment</x:v>
      </x:c>
      <x:c r="C7" s="22" t="n">
        <x:v>5</x:v>
      </x:c>
      <x:c r="D7" s="22" t="n">
        <x:v>6</x:v>
      </x:c>
      <x:c r="E7" s="22" t="str">
        <x:v>TC-013; TC-014; TC-015; TC-016; TC-017; TC-018</x:v>
      </x:c>
      <x:c r="F7" s="22" t="str">
        <x:v>Designed (not all executed)</x:v>
      </x:c>
    </x:row>
    <x:row r="8" ht="30" customHeight="1">
      <x:c r="A8" s="22" t="str">
        <x:v>UC-05</x:v>
      </x:c>
      <x:c r="B8" s="22" t="str">
        <x:v>View My Appointments</x:v>
      </x:c>
      <x:c r="C8" s="22" t="n">
        <x:v>3</x:v>
      </x:c>
      <x:c r="D8" s="22" t="n">
        <x:v>3</x:v>
      </x:c>
      <x:c r="E8" s="22" t="str">
        <x:v>TC-019; TC-020; TC-021</x:v>
      </x:c>
      <x:c r="F8" s="22" t="str">
        <x:v>Designed (not all executed)</x:v>
      </x:c>
    </x:row>
    <x:row r="9" ht="30" customHeight="1">
      <x:c r="A9" s="22" t="str">
        <x:v>UC-06</x:v>
      </x:c>
      <x:c r="B9" s="22" t="str">
        <x:v>Cancel an Appointment</x:v>
      </x:c>
      <x:c r="C9" s="22" t="n">
        <x:v>4</x:v>
      </x:c>
      <x:c r="D9" s="22" t="n">
        <x:v>5</x:v>
      </x:c>
      <x:c r="E9" s="22" t="str">
        <x:v>TC-022; TC-023; TC-024; TC-025; TC-026</x:v>
      </x:c>
      <x:c r="F9" s="22" t="str">
        <x:v>Designed (not all executed)</x:v>
      </x:c>
    </x:row>
    <x:row r="10" ht="30" customHeight="1">
      <x:c r="A10" s="22" t="str">
        <x:v>UC-07</x:v>
      </x:c>
      <x:c r="B10" s="22" t="str">
        <x:v>Reschedule an Appointment</x:v>
      </x:c>
      <x:c r="C10" s="22" t="n">
        <x:v>4</x:v>
      </x:c>
      <x:c r="D10" s="22" t="n">
        <x:v>4</x:v>
      </x:c>
      <x:c r="E10" s="22" t="str">
        <x:v>TC-027; TC-028; TC-029; TC-030</x:v>
      </x:c>
      <x:c r="F10" s="22" t="str">
        <x:v>Designed (not all executed)</x:v>
      </x:c>
    </x:row>
    <x:row r="11" ht="30" customHeight="1">
      <x:c r="A11" s="22" t="str">
        <x:v>UC-08</x:v>
      </x:c>
      <x:c r="B11" s="22" t="str">
        <x:v>Patient Check-in</x:v>
      </x:c>
      <x:c r="C11" s="22" t="n">
        <x:v>4</x:v>
      </x:c>
      <x:c r="D11" s="22" t="n">
        <x:v>4</x:v>
      </x:c>
      <x:c r="E11" s="22" t="str">
        <x:v>TC-031; TC-032; TC-033; TC-034</x:v>
      </x:c>
      <x:c r="F11" s="22" t="str">
        <x:v>Designed (not all executed)</x:v>
      </x:c>
    </x:row>
    <x:row r="12" ht="30" customHeight="1">
      <x:c r="A12" s="22" t="str">
        <x:v>UC-09</x:v>
      </x:c>
      <x:c r="B12" s="22" t="str">
        <x:v>Manage Consultation Progress</x:v>
      </x:c>
      <x:c r="C12" s="22" t="n">
        <x:v>4</x:v>
      </x:c>
      <x:c r="D12" s="22" t="n">
        <x:v>5</x:v>
      </x:c>
      <x:c r="E12" s="22" t="str">
        <x:v>TC-035; TC-036; TC-037; TC-038; TC-039</x:v>
      </x:c>
      <x:c r="F12" s="22" t="str">
        <x:v>Designed (not all executed)</x:v>
      </x:c>
    </x:row>
    <x:row r="13" ht="30" customHeight="1">
      <x:c r="A13" s="22" t="str">
        <x:v>UC-10</x:v>
      </x:c>
      <x:c r="B13" s="22" t="str">
        <x:v>Manage Physician Schedules</x:v>
      </x:c>
      <x:c r="C13" s="22" t="n">
        <x:v>4</x:v>
      </x:c>
      <x:c r="D13" s="22" t="n">
        <x:v>4</x:v>
      </x:c>
      <x:c r="E13" s="22" t="str">
        <x:v>TC-040; TC-041; TC-042; TC-043</x:v>
      </x:c>
      <x:c r="F13" s="22" t="str">
        <x:v>Designed (not all executed)</x:v>
      </x:c>
    </x:row>
    <x:row r="14" ht="30" customHeight="1">
      <x:c r="A14" s="22" t="str">
        <x:v>UC-11</x:v>
      </x:c>
      <x:c r="B14" s="22" t="str">
        <x:v>Send Appointment Notifications</x:v>
      </x:c>
      <x:c r="C14" s="22" t="n">
        <x:v>3</x:v>
      </x:c>
      <x:c r="D14" s="22" t="n">
        <x:v>4</x:v>
      </x:c>
      <x:c r="E14" s="22" t="str">
        <x:v>TC-044; TC-045; TC-046; TC-047</x:v>
      </x:c>
      <x:c r="F14" s="22" t="str">
        <x:v>Designed (not all executed)</x:v>
      </x:c>
    </x:row>
    <x:row r="15" ht="30" customHeight="1">
      <x:c r="A15" s="22" t="str">
        <x:v>UC-12</x:v>
      </x:c>
      <x:c r="B15" s="22" t="str">
        <x:v>Generate Reports and Review Audit Logs</x:v>
      </x:c>
      <x:c r="C15" s="22" t="n">
        <x:v>3</x:v>
      </x:c>
      <x:c r="D15" s="22" t="n">
        <x:v>3</x:v>
      </x:c>
      <x:c r="E15" s="22" t="str">
        <x:v>TC-048; TC-049; TC-050</x:v>
      </x:c>
      <x:c r="F15" s="22" t="str">
        <x:v>Designed (not all executed)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5" customHeight="1">
      <x:c r="A1" s="4" t="str">
        <x:v>HOAS | 22_ChangeLog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10" t="str">
        <x:v>Two requirements changes and impact analyses; agreement is simulated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38" customHeight="1">
      <x:c r="A3" s="27" t="str">
        <x:v>CR ID</x:v>
      </x:c>
      <x:c r="B3" s="27" t="str">
        <x:v>Change</x:v>
      </x:c>
      <x:c r="C3" s="27" t="str">
        <x:v>Conflicting Stakeholders</x:v>
      </x:c>
      <x:c r="D3" s="27" t="str">
        <x:v>Status</x:v>
      </x:c>
      <x:c r="E3" s="27" t="str">
        <x:v>Business Rules</x:v>
      </x:c>
      <x:c r="F3" s="27" t="str">
        <x:v>Requirements impacted</x:v>
      </x:c>
      <x:c r="G3" s="27" t="str">
        <x:v>Use Cases</x:v>
      </x:c>
      <x:c r="H3" s="27" t="str">
        <x:v>Tests</x:v>
      </x:c>
      <x:c r="I3" s="27" t="str">
        <x:v>Impact</x:v>
      </x:c>
      <x:c r="J3" s="27" t="str">
        <x:v>Date</x:v>
      </x:c>
      <x:c r="K3" s="27" t="str">
        <x:v>Rationale</x:v>
      </x:c>
    </x:row>
    <x:row r="4" ht="30" customHeight="1">
      <x:c r="A4" s="22" t="str">
        <x:v>CR-01</x:v>
      </x:c>
      <x:c r="B4" s="22" t="str">
        <x:v>Change the early draft self-service cancel/reschedule deadline from 24 hours to 12 hours</x:v>
      </x:c>
      <x:c r="C4" s="22" t="str">
        <x:v>STK-01 ↔ STK-04</x:v>
      </x:c>
      <x:c r="D4" s="22" t="str">
        <x:v>Simulated agreed, pending real approval</x:v>
      </x:c>
      <x:c r="E4" s="22" t="str">
        <x:v>BR-04; BR-05</x:v>
      </x:c>
      <x:c r="F4" s="22" t="str">
        <x:v>FR-6.1.1; FR-6.1.2; FR-7.1.1; FR-7.1.2</x:v>
      </x:c>
      <x:c r="G4" s="22" t="str">
        <x:v>UC-06; UC-07</x:v>
      </x:c>
      <x:c r="H4" s="22" t="str">
        <x:v>TC-023; TC-024; TC-027; TC-028</x:v>
      </x:c>
      <x:c r="I4" s="22" t="str">
        <x:v>Medium</x:v>
      </x:c>
      <x:c r="J4" s="22" t="str">
        <x:v>2026-10-15</x:v>
      </x:c>
      <x:c r="K4" s="22" t="str">
        <x:v>Simulated policy compromise: patient flexibility versus operational disruption</x:v>
      </x:c>
    </x:row>
    <x:row r="5" ht="30" customHeight="1">
      <x:c r="A5" s="22" t="str">
        <x:v>CR-02</x:v>
      </x:c>
      <x:c r="B5" s="22" t="str">
        <x:v>Add atomic booking and rescheduling updates under concurrent requests</x:v>
      </x:c>
      <x:c r="C5" s="22" t="str">
        <x:v>STK-04 ↔ STK-05</x:v>
      </x:c>
      <x:c r="D5" s="22" t="str">
        <x:v>Simulated agreed, pending real approval</x:v>
      </x:c>
      <x:c r="E5" s="22" t="str">
        <x:v>BR-02; BR-05</x:v>
      </x:c>
      <x:c r="F5" s="22" t="str">
        <x:v>FR-4.1.2; FR-7.1.1; FR-7.1.2; NFR-2.1; NFR-2.2</x:v>
      </x:c>
      <x:c r="G5" s="22" t="str">
        <x:v>UC-04; UC-07</x:v>
      </x:c>
      <x:c r="H5" s="22" t="str">
        <x:v>TC-015; TC-016; TC-027; TC-030</x:v>
      </x:c>
      <x:c r="I5" s="22" t="str">
        <x:v>High</x:v>
      </x:c>
      <x:c r="J5" s="22" t="str">
        <x:v>2026-10-15</x:v>
      </x:c>
      <x:c r="K5" s="22" t="str">
        <x:v>Prevent overbooking and loss of an existing reserved slot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5" customHeight="1">
      <x:c r="A1" s="4" t="str">
        <x:v>HOAS | 23_DecisionLog</x:v>
      </x:c>
      <x:c r="B1" s="4"/>
      <x:c r="C1" s="4"/>
      <x:c r="D1" s="4"/>
      <x:c r="E1" s="4"/>
      <x:c r="F1" s="4"/>
      <x:c r="G1" s="4"/>
    </x:row>
    <x:row r="2" ht="30" customHeight="1">
      <x:c r="A2" s="10" t="str">
        <x:v>Simulated decisions, not signed approvals by a hospital</x:v>
      </x:c>
      <x:c r="B2" s="10"/>
      <x:c r="C2" s="10"/>
      <x:c r="D2" s="10"/>
      <x:c r="E2" s="10"/>
      <x:c r="F2" s="10"/>
      <x:c r="G2" s="10"/>
    </x:row>
    <x:row r="3" ht="38" customHeight="1">
      <x:c r="A3" s="27" t="str">
        <x:v>Decision</x:v>
      </x:c>
      <x:c r="B3" s="27" t="str">
        <x:v>Scenario</x:v>
      </x:c>
      <x:c r="C3" s="27" t="str">
        <x:v>Options</x:v>
      </x:c>
      <x:c r="D3" s="27" t="str">
        <x:v>Selected approach</x:v>
      </x:c>
      <x:c r="E3" s="27" t="str">
        <x:v>Rationale</x:v>
      </x:c>
      <x:c r="F3" s="27" t="str">
        <x:v>Approval status</x:v>
      </x:c>
      <x:c r="G3" s="27" t="str">
        <x:v>Affected</x:v>
      </x:c>
    </x:row>
    <x:row r="4" ht="30" customHeight="1">
      <x:c r="A4" s="22" t="str">
        <x:v>DEC-01</x:v>
      </x:c>
      <x:c r="B4" s="22" t="str">
        <x:v>Policy: late cancellation</x:v>
      </x:c>
      <x:c r="C4" s="22" t="str">
        <x:v>Any time vs 24h vs 12h</x:v>
      </x:c>
      <x:c r="D4" s="22" t="str">
        <x:v>12h self-service; staff manual exception</x:v>
      </x:c>
      <x:c r="E4" s="22" t="str">
        <x:v>Balance patient flexibility / operational stability</x:v>
      </x:c>
      <x:c r="F4" s="22" t="str">
        <x:v>Simulated only</x:v>
      </x:c>
      <x:c r="G4" s="22" t="str">
        <x:v>BR-04; BR-05; CR-01</x:v>
      </x:c>
    </x:row>
    <x:row r="5" ht="30" customHeight="1">
      <x:c r="A5" s="22" t="str">
        <x:v>DEC-02</x:v>
      </x:c>
      <x:c r="B5" s="22" t="str">
        <x:v>Two bookings compete</x:v>
      </x:c>
      <x:c r="C5" s="22" t="str">
        <x:v>Optimistic read vs atomic commit</x:v>
      </x:c>
      <x:c r="D5" s="22" t="str">
        <x:v>Atomic capacity guard</x:v>
      </x:c>
      <x:c r="E5" s="22" t="str">
        <x:v>Prevent overbooking</x:v>
      </x:c>
      <x:c r="F5" s="22" t="str">
        <x:v>Simulated only</x:v>
      </x:c>
      <x:c r="G5" s="22" t="str">
        <x:v>FR-4.1.2; CR-02</x:v>
      </x:c>
    </x:row>
    <x:row r="6" ht="30" customHeight="1">
      <x:c r="A6" s="22" t="str">
        <x:v>DEC-03</x:v>
      </x:c>
      <x:c r="B6" s="22" t="str">
        <x:v>Doctor sudden absence</x:v>
      </x:c>
      <x:c r="C6" s="22" t="str">
        <x:v>Auto assign other doctor vs human review</x:v>
      </x:c>
      <x:c r="D6" s="22" t="str">
        <x:v>Needs Rescheduling + staff discussion</x:v>
      </x:c>
      <x:c r="E6" s="22" t="str">
        <x:v>Consent and responsibility</x:v>
      </x:c>
      <x:c r="F6" s="22" t="str">
        <x:v>Simulated only</x:v>
      </x:c>
      <x:c r="G6" s="22" t="str">
        <x:v>FR-10.1.2; BR-09</x:v>
      </x:c>
    </x:row>
    <x:row r="7" ht="30" customHeight="1">
      <x:c r="A7" s="22" t="str">
        <x:v>DEC-04</x:v>
      </x:c>
      <x:c r="B7" s="22" t="str">
        <x:v>Messaging failed</x:v>
      </x:c>
      <x:c r="C7" s="22" t="str">
        <x:v>Rollback booking vs outbox retry</x:v>
      </x:c>
      <x:c r="D7" s="22" t="str">
        <x:v>Keep booking; retry notification</x:v>
      </x:c>
      <x:c r="E7" s="22" t="str">
        <x:v>Messaging is non-critical to booking integrity</x:v>
      </x:c>
      <x:c r="F7" s="22" t="str">
        <x:v>Simulated only</x:v>
      </x:c>
      <x:c r="G7" s="22" t="str">
        <x:v>FR-11.1.2; NFR-7.1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35" customHeight="1">
      <x:c r="A1" s="4" t="str">
        <x:v>HOAS | 24_HazardTrace</x:v>
      </x:c>
      <x:c r="B1" s="4"/>
      <x:c r="C1" s="4"/>
      <x:c r="D1" s="4"/>
      <x:c r="E1" s="4"/>
    </x:row>
    <x:row r="2" ht="30" customHeight="1">
      <x:c r="A2" s="10" t="str">
        <x:v>Risk control mapped to test IDs</x:v>
      </x:c>
      <x:c r="B2" s="10"/>
      <x:c r="C2" s="10"/>
      <x:c r="D2" s="10"/>
      <x:c r="E2" s="10"/>
    </x:row>
    <x:row r="3" ht="38" customHeight="1">
      <x:c r="A3" s="27" t="str">
        <x:v>Hazard ID</x:v>
      </x:c>
      <x:c r="B3" s="27" t="str">
        <x:v>Hazard</x:v>
      </x:c>
      <x:c r="C3" s="27" t="str">
        <x:v>Requirement</x:v>
      </x:c>
      <x:c r="D3" s="27" t="str">
        <x:v>Designed Tests</x:v>
      </x:c>
      <x:c r="E3" s="27" t="str">
        <x:v>Status</x:v>
      </x:c>
    </x:row>
    <x:row r="4" ht="30" customHeight="1">
      <x:c r="A4" s="22" t="str">
        <x:v>HZ-01</x:v>
      </x:c>
      <x:c r="B4" s="22" t="str">
        <x:v>Overbooking</x:v>
      </x:c>
      <x:c r="C4" s="22" t="str">
        <x:v>FR-4.1.2</x:v>
      </x:c>
      <x:c r="D4" s="22" t="str">
        <x:v>TC-015; TC-016</x:v>
      </x:c>
      <x:c r="E4" s="22" t="str">
        <x:v>Evidence depends on actual test execution</x:v>
      </x:c>
    </x:row>
    <x:row r="5" ht="30" customHeight="1">
      <x:c r="A5" s="22" t="str">
        <x:v>HZ-02</x:v>
      </x:c>
      <x:c r="B5" s="22" t="str">
        <x:v>Personal data disclosure</x:v>
      </x:c>
      <x:c r="C5" s="22" t="str">
        <x:v>NFR-3.1</x:v>
      </x:c>
      <x:c r="D5" s="22" t="str">
        <x:v>TC-020; TC-036; TC-050</x:v>
      </x:c>
      <x:c r="E5" s="22" t="str">
        <x:v>Evidence depends on actual test execution</x:v>
      </x:c>
    </x:row>
    <x:row r="6" ht="30" customHeight="1">
      <x:c r="A6" s="22" t="str">
        <x:v>HZ-03</x:v>
      </x:c>
      <x:c r="B6" s="22" t="str">
        <x:v>Wrong check-in</x:v>
      </x:c>
      <x:c r="C6" s="22" t="str">
        <x:v>FR-8.1.2</x:v>
      </x:c>
      <x:c r="D6" s="22" t="str">
        <x:v>TC-032; TC-033</x:v>
      </x:c>
      <x:c r="E6" s="22" t="str">
        <x:v>Evidence depends on actual test execution</x:v>
      </x:c>
    </x:row>
    <x:row r="7" ht="30" customHeight="1">
      <x:c r="A7" s="22" t="str">
        <x:v>HZ-04</x:v>
      </x:c>
      <x:c r="B7" s="22" t="str">
        <x:v>Doctor absence unhandled</x:v>
      </x:c>
      <x:c r="C7" s="22" t="str">
        <x:v>FR-10.1.2</x:v>
      </x:c>
      <x:c r="D7" s="22" t="str">
        <x:v>TC-042</x:v>
      </x:c>
      <x:c r="E7" s="22" t="str">
        <x:v>Evidence depends on actual test execution</x:v>
      </x:c>
    </x:row>
    <x:row r="8" ht="30" customHeight="1">
      <x:c r="A8" s="22" t="str">
        <x:v>HZ-05</x:v>
      </x:c>
      <x:c r="B8" s="22" t="str">
        <x:v>Lost appointment on reschedule</x:v>
      </x:c>
      <x:c r="C8" s="22" t="str">
        <x:v>FR-7.1.2</x:v>
      </x:c>
      <x:c r="D8" s="22" t="str">
        <x:v>TC-030</x:v>
      </x:c>
      <x:c r="E8" s="22" t="str">
        <x:v>Evidence depends on actual test execution</x:v>
      </x:c>
    </x:row>
    <x:row r="9" ht="30" customHeight="1">
      <x:c r="A9" s="22" t="str">
        <x:v>HZ-06</x:v>
      </x:c>
      <x:c r="B9" s="22" t="str">
        <x:v>Notification outage</x:v>
      </x:c>
      <x:c r="C9" s="22" t="str">
        <x:v>NFR-7.1</x:v>
      </x:c>
      <x:c r="D9" s="22" t="str">
        <x:v>TC-046</x:v>
      </x:c>
      <x:c r="E9" s="22" t="str">
        <x:v>Evidence depends on actual test execution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5" customHeight="1">
      <x:c r="A1" s="4" t="str">
        <x:v>HOAS | 25_Validation</x:v>
      </x:c>
      <x:c r="B1" s="4"/>
      <x:c r="C1" s="4"/>
      <x:c r="D1" s="4"/>
      <x:c r="E1" s="4"/>
      <x:c r="F1" s="4"/>
    </x:row>
    <x:row r="2" ht="30" customHeight="1">
      <x:c r="A2" s="10" t="str">
        <x:v>Simulated walkthrough identifies concrete defects; open evidence gaps labeled</x:v>
      </x:c>
      <x:c r="B2" s="10"/>
      <x:c r="C2" s="10"/>
      <x:c r="D2" s="10"/>
      <x:c r="E2" s="10"/>
      <x:c r="F2" s="10"/>
    </x:row>
    <x:row r="3" ht="38" customHeight="1">
      <x:c r="A3" s="27" t="str">
        <x:v>Finding ID</x:v>
      </x:c>
      <x:c r="B3" s="27" t="str">
        <x:v>Category</x:v>
      </x:c>
      <x:c r="C3" s="27" t="str">
        <x:v>Issue</x:v>
      </x:c>
      <x:c r="D3" s="27" t="str">
        <x:v>Resolution</x:v>
      </x:c>
      <x:c r="E3" s="27" t="str">
        <x:v>Status</x:v>
      </x:c>
      <x:c r="F3" s="27" t="str">
        <x:v>Method</x:v>
      </x:c>
    </x:row>
    <x:row r="4" ht="30" customHeight="1">
      <x:c r="A4" s="22" t="str">
        <x:v>VAL-01</x:v>
      </x:c>
      <x:c r="B4" s="22" t="str">
        <x:v>Ambiguity</x:v>
      </x:c>
      <x:c r="C4" s="22" t="str">
        <x:v>“Fast booking” has no measurable response-time threshold</x:v>
      </x:c>
      <x:c r="D4" s="22" t="str">
        <x:v>Replace with NFR-1.1 95% &lt;=3s at specified load</x:v>
      </x:c>
      <x:c r="E4" s="22" t="str">
        <x:v>Closed in draft</x:v>
      </x:c>
      <x:c r="F4" s="22" t="str">
        <x:v>Simulated review</x:v>
      </x:c>
    </x:row>
    <x:row r="5" ht="30" customHeight="1">
      <x:c r="A5" s="22" t="str">
        <x:v>VAL-02</x:v>
      </x:c>
      <x:c r="B5" s="22" t="str">
        <x:v>Conflict</x:v>
      </x:c>
      <x:c r="C5" s="22" t="str">
        <x:v>Cancellation at any time conflicts with reception operations</x:v>
      </x:c>
      <x:c r="D5" s="22" t="str">
        <x:v>Apply 12-hour cutoff and authorized exception</x:v>
      </x:c>
      <x:c r="E5" s="22" t="str">
        <x:v>Closed in draft</x:v>
      </x:c>
      <x:c r="F5" s="22" t="str">
        <x:v>Simulated workshop</x:v>
      </x:c>
    </x:row>
    <x:row r="6" ht="30" customHeight="1">
      <x:c r="A6" s="22" t="str">
        <x:v>VAL-03</x:v>
      </x:c>
      <x:c r="B6" s="22" t="str">
        <x:v>Omission</x:v>
      </x:c>
      <x:c r="C6" s="22" t="str">
        <x:v>A failed reschedule could lose the original place</x:v>
      </x:c>
      <x:c r="D6" s="22" t="str">
        <x:v>Add FR-7.1.2 rollback</x:v>
      </x:c>
      <x:c r="E6" s="22" t="str">
        <x:v>Closed in draft</x:v>
      </x:c>
      <x:c r="F6" s="22" t="str">
        <x:v>Simulated review</x:v>
      </x:c>
    </x:row>
    <x:row r="7" ht="30" customHeight="1">
      <x:c r="A7" s="22" t="str">
        <x:v>VAL-04</x:v>
      </x:c>
      <x:c r="B7" s="22" t="str">
        <x:v>Security</x:v>
      </x:c>
      <x:c r="C7" s="22" t="str">
        <x:v>Ownership checks missing for another patient’s bookings</x:v>
      </x:c>
      <x:c r="D7" s="22" t="str">
        <x:v>Add owner checks FR-5.1.1/NFR-3.1</x:v>
      </x:c>
      <x:c r="E7" s="22" t="str">
        <x:v>Closed in draft</x:v>
      </x:c>
      <x:c r="F7" s="22" t="str">
        <x:v>Simulated review</x:v>
      </x:c>
    </x:row>
    <x:row r="8" ht="30" customHeight="1">
      <x:c r="A8" s="22" t="str">
        <x:v>VAL-05</x:v>
      </x:c>
      <x:c r="B8" s="22" t="str">
        <x:v>Evidence gap</x:v>
      </x:c>
      <x:c r="C8" s="22" t="str">
        <x:v>Load, TLS and availability targets have not been verified</x:v>
      </x:c>
      <x:c r="D8" s="22" t="str">
        <x:v>Record Pending evidence rather than Pass</x:v>
      </x:c>
      <x:c r="E8" s="22" t="str">
        <x:v>Open</x:v>
      </x:c>
      <x:c r="F8" s="22" t="str">
        <x:v>Inspection</x:v>
      </x:c>
    </x:row>
    <x:row r="9" ht="30" customHeight="1">
      <x:c r="A9" s="22" t="str">
        <x:v>VAL-06</x:v>
      </x:c>
      <x:c r="B9" s="22" t="str">
        <x:v>Conflict</x:v>
      </x:c>
      <x:c r="C9" s="22" t="str">
        <x:v>An absent doctor must not be reassigned without patient agreement</x:v>
      </x:c>
      <x:c r="D9" s="22" t="str">
        <x:v>Use Needs Rescheduling + staff confirmation</x:v>
      </x:c>
      <x:c r="E9" s="22" t="str">
        <x:v>Closed in draft</x:v>
      </x:c>
      <x:c r="F9" s="22" t="str">
        <x:v>Simulated review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</x:cols>
  <x:sheetData>
    <x:row r="1" ht="35" customHeight="1">
      <x:c r="A1" s="4" t="str">
        <x:v>HOAS | 26_Coverage</x:v>
      </x:c>
      <x:c r="B1" s="4"/>
      <x:c r="C1" s="4"/>
    </x:row>
    <x:row r="2" ht="30" customHeight="1">
      <x:c r="A2" s="10" t="str">
        <x:v>Formula-driven dashboard; designed coverage MUST NOT be described as production verification</x:v>
      </x:c>
      <x:c r="B2" s="10"/>
      <x:c r="C2" s="10"/>
    </x:row>
    <x:row r="3" ht="38" customHeight="1">
      <x:c r="A3" s="27" t="str">
        <x:v>Metric</x:v>
      </x:c>
      <x:c r="B3" s="27" t="str">
        <x:v>Value</x:v>
      </x:c>
      <x:c r="C3" s="27" t="str">
        <x:v>Interpretation</x:v>
      </x:c>
    </x:row>
    <x:row r="4" ht="30" customHeight="1">
      <x:c r="A4" s="22" t="str">
        <x:v>Functional requirements</x:v>
      </x:c>
      <x:c r="B4" s="22" t="n">
        <x:f>COUNTA('03_Requirements'!A4:A200)</x:f>
        <x:v>30</x:v>
      </x:c>
      <x:c r="C4" s="22" t="str">
        <x:v>Count unique FR IDs, all Proposed</x:v>
      </x:c>
    </x:row>
    <x:row r="5" ht="30" customHeight="1">
      <x:c r="A5" s="22" t="str">
        <x:v>Non-functional requirements</x:v>
      </x:c>
      <x:c r="B5" s="22" t="n">
        <x:f>COUNTA('06_NFR'!A4:A200)</x:f>
        <x:v>10</x:v>
      </x:c>
      <x:c r="C5" s="22" t="str">
        <x:v>Several goals unverified in production</x:v>
      </x:c>
    </x:row>
    <x:row r="6" ht="30" customHeight="1">
      <x:c r="A6" s="22" t="str">
        <x:v>Use cases</x:v>
      </x:c>
      <x:c r="B6" s="22" t="n">
        <x:f>COUNTA('05_UseCases'!A4:A200)</x:f>
        <x:v>12</x:v>
      </x:c>
      <x:c r="C6" s="22" t="str">
        <x:v>Complete scenarios in DOCX</x:v>
      </x:c>
    </x:row>
    <x:row r="7" ht="30" customHeight="1">
      <x:c r="A7" s="22" t="str">
        <x:v>Designed test cases</x:v>
      </x:c>
      <x:c r="B7" s="22" t="n">
        <x:f>COUNTA('09_TestCase_Activity'!A4:A200)</x:f>
        <x:v>50</x:v>
      </x:c>
      <x:c r="C7" s="22" t="str">
        <x:v>Designed count is not passed count</x:v>
      </x:c>
    </x:row>
    <x:row r="8" ht="30" customHeight="1">
      <x:c r="A8" s="22" t="str">
        <x:v>Prototype data-driven cases passed</x:v>
      </x:c>
      <x:c r="B8" s="22" t="n">
        <x:f>COUNTIF('08_Test'!K4:K200,"PASS / PASS")</x:f>
        <x:v>50</x:v>
      </x:c>
      <x:c r="C8" s="22" t="str">
        <x:v>JSON+CSV prototype only; not hospital deployment, NFR or production evidence</x:v>
      </x:c>
    </x:row>
    <x:row r="9" ht="30" customHeight="1">
      <x:c r="A9" s="22" t="str">
        <x:v>FR with linked designed TCs</x:v>
      </x:c>
      <x:c r="B9" s="22" t="n">
        <x:f>COUNTIF('20_Req_Test_Trace'!F4:F33,"Designed")</x:f>
        <x:v>30</x:v>
      </x:c>
      <x:c r="C9" s="22" t="str">
        <x:v>This is trace-link coverage only</x:v>
      </x:c>
    </x:row>
    <x:row r="10" ht="30" customHeight="1">
      <x:c r="A10" s="22" t="str">
        <x:v>FR design coverage</x:v>
      </x:c>
      <x:c r="B10" s="22" t="n">
        <x:f>IFERROR(B9/B4,0)</x:f>
        <x:v>1</x:v>
      </x:c>
      <x:c r="C10" s="22" t="str">
        <x:v>Planned/Linked ratio, not executed coverage</x:v>
      </x:c>
    </x:row>
    <x:row r="11" ht="30" customHeight="1">
      <x:c r="A11" s="22" t="str">
        <x:v>Independent Python unit tests</x:v>
      </x:c>
      <x:c r="B11" s="22" t="n">
        <x:v>35</x:v>
      </x:c>
      <x:c r="C11" s="22" t="str">
        <x:v>Result file: 35 tests passed, 0 failed</x:v>
      </x:c>
    </x:row>
    <x:row r="12" ht="30" customHeight="1">
      <x:c r="A12" s="22" t="str">
        <x:v>NFR fully verified in deployment</x:v>
      </x:c>
      <x:c r="B12" s="22" t="n">
        <x:v>0</x:v>
      </x:c>
      <x:c r="C12" s="22" t="str">
        <x:v>No deployed hospital system in this assignment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35" customHeight="1">
      <x:c r="A1" s="4" t="str">
        <x:v>HOAS | 27_Prioritization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Illustrative value-versus-effort scoring; not empirical survey evidence</x:v>
      </x:c>
      <x:c r="B2" s="10"/>
      <x:c r="C2" s="10"/>
      <x:c r="D2" s="10"/>
      <x:c r="E2" s="10"/>
      <x:c r="F2" s="10"/>
      <x:c r="G2" s="10"/>
      <x:c r="H2" s="10"/>
    </x:row>
    <x:row r="3" ht="38" customHeight="1">
      <x:c r="A3" s="27" t="str">
        <x:v>Req ID</x:v>
      </x:c>
      <x:c r="B3" s="27" t="str">
        <x:v>Title</x:v>
      </x:c>
      <x:c r="C3" s="27" t="str">
        <x:v>MoSCoW</x:v>
      </x:c>
      <x:c r="D3" s="27" t="str">
        <x:v>Business value</x:v>
      </x:c>
      <x:c r="E3" s="27" t="str">
        <x:v>Stakeholder urgency</x:v>
      </x:c>
      <x:c r="F3" s="27" t="str">
        <x:v>Effort</x:v>
      </x:c>
      <x:c r="G3" s="27" t="str">
        <x:v>Score</x:v>
      </x:c>
      <x:c r="H3" s="27" t="str">
        <x:v>Source</x:v>
      </x:c>
    </x:row>
    <x:row r="4" ht="30" customHeight="1">
      <x:c r="A4" s="22" t="str">
        <x:v>FR-1.1.1</x:v>
      </x:c>
      <x:c r="B4" s="22" t="str">
        <x:v>Unique Patient Registration</x:v>
      </x:c>
      <x:c r="C4" s="22" t="str">
        <x:v>Must</x:v>
      </x:c>
      <x:c r="D4" s="22" t="n">
        <x:v>5</x:v>
      </x:c>
      <x:c r="E4" s="22" t="n">
        <x:v>3</x:v>
      </x:c>
      <x:c r="F4" s="22" t="n">
        <x:v>2</x:v>
      </x:c>
      <x:c r="G4" s="22" t="n">
        <x:f>IFERROR((D4*E4)/F4,0)</x:f>
        <x:v>7.5</x:v>
      </x:c>
      <x:c r="H4" s="22" t="str">
        <x:v>Scoring assumptions, simulated</x:v>
      </x:c>
    </x:row>
    <x:row r="5" ht="30" customHeight="1">
      <x:c r="A5" s="22" t="str">
        <x:v>FR-1.1.2</x:v>
      </x:c>
      <x:c r="B5" s="22" t="str">
        <x:v>Validate Registration Details</x:v>
      </x:c>
      <x:c r="C5" s="22" t="str">
        <x:v>Must</x:v>
      </x:c>
      <x:c r="D5" s="22" t="n">
        <x:v>5</x:v>
      </x:c>
      <x:c r="E5" s="22" t="n">
        <x:v>3</x:v>
      </x:c>
      <x:c r="F5" s="22" t="n">
        <x:v>2</x:v>
      </x:c>
      <x:c r="G5" s="22" t="n">
        <x:f>IFERROR((D5*E5)/F5,0)</x:f>
        <x:v>7.5</x:v>
      </x:c>
      <x:c r="H5" s="22" t="str">
        <x:v>Scoring assumptions, simulated</x:v>
      </x:c>
    </x:row>
    <x:row r="6" ht="30" customHeight="1">
      <x:c r="A6" s="22" t="str">
        <x:v>FR-1.1.3</x:v>
      </x:c>
      <x:c r="B6" s="22" t="str">
        <x:v>Role-Based Sign-In</x:v>
      </x:c>
      <x:c r="C6" s="22" t="str">
        <x:v>Must</x:v>
      </x:c>
      <x:c r="D6" s="22" t="n">
        <x:v>5</x:v>
      </x:c>
      <x:c r="E6" s="22" t="n">
        <x:v>3</x:v>
      </x:c>
      <x:c r="F6" s="22" t="n">
        <x:v>2</x:v>
      </x:c>
      <x:c r="G6" s="22" t="n">
        <x:f>IFERROR((D6*E6)/F6,0)</x:f>
        <x:v>7.5</x:v>
      </x:c>
      <x:c r="H6" s="22" t="str">
        <x:v>Scoring assumptions, simulated</x:v>
      </x:c>
    </x:row>
    <x:row r="7" ht="30" customHeight="1">
      <x:c r="A7" s="22" t="str">
        <x:v>FR-2.1.1</x:v>
      </x:c>
      <x:c r="B7" s="22" t="str">
        <x:v>View Own Profile</x:v>
      </x:c>
      <x:c r="C7" s="22" t="str">
        <x:v>Should</x:v>
      </x:c>
      <x:c r="D7" s="22" t="n">
        <x:v>3</x:v>
      </x:c>
      <x:c r="E7" s="22" t="n">
        <x:v>3</x:v>
      </x:c>
      <x:c r="F7" s="22" t="n">
        <x:v>2</x:v>
      </x:c>
      <x:c r="G7" s="22" t="n">
        <x:f>IFERROR((D7*E7)/F7,0)</x:f>
        <x:v>4.5</x:v>
      </x:c>
      <x:c r="H7" s="22" t="str">
        <x:v>Scoring assumptions, simulated</x:v>
      </x:c>
    </x:row>
    <x:row r="8" ht="30" customHeight="1">
      <x:c r="A8" s="22" t="str">
        <x:v>FR-2.1.2</x:v>
      </x:c>
      <x:c r="B8" s="22" t="str">
        <x:v>Update Own Profile</x:v>
      </x:c>
      <x:c r="C8" s="22" t="str">
        <x:v>Should</x:v>
      </x:c>
      <x:c r="D8" s="22" t="n">
        <x:v>3</x:v>
      </x:c>
      <x:c r="E8" s="22" t="n">
        <x:v>3</x:v>
      </x:c>
      <x:c r="F8" s="22" t="n">
        <x:v>2</x:v>
      </x:c>
      <x:c r="G8" s="22" t="n">
        <x:f>IFERROR((D8*E8)/F8,0)</x:f>
        <x:v>4.5</x:v>
      </x:c>
      <x:c r="H8" s="22" t="str">
        <x:v>Scoring assumptions, simulated</x:v>
      </x:c>
    </x:row>
    <x:row r="9" ht="30" customHeight="1">
      <x:c r="A9" s="22" t="str">
        <x:v>FR-3.1.1</x:v>
      </x:c>
      <x:c r="B9" s="22" t="str">
        <x:v>Search by Specialty</x:v>
      </x:c>
      <x:c r="C9" s="22" t="str">
        <x:v>Must</x:v>
      </x:c>
      <x:c r="D9" s="22" t="n">
        <x:v>5</x:v>
      </x:c>
      <x:c r="E9" s="22" t="n">
        <x:v>3</x:v>
      </x:c>
      <x:c r="F9" s="22" t="n">
        <x:v>2</x:v>
      </x:c>
      <x:c r="G9" s="22" t="n">
        <x:f>IFERROR((D9*E9)/F9,0)</x:f>
        <x:v>7.5</x:v>
      </x:c>
      <x:c r="H9" s="22" t="str">
        <x:v>Scoring assumptions, simulated</x:v>
      </x:c>
    </x:row>
    <x:row r="10" ht="30" customHeight="1">
      <x:c r="A10" s="22" t="str">
        <x:v>FR-3.1.2</x:v>
      </x:c>
      <x:c r="B10" s="22" t="str">
        <x:v>Show Available Slots</x:v>
      </x:c>
      <x:c r="C10" s="22" t="str">
        <x:v>Must</x:v>
      </x:c>
      <x:c r="D10" s="22" t="n">
        <x:v>5</x:v>
      </x:c>
      <x:c r="E10" s="22" t="n">
        <x:v>3</x:v>
      </x:c>
      <x:c r="F10" s="22" t="n">
        <x:v>2</x:v>
      </x:c>
      <x:c r="G10" s="22" t="n">
        <x:f>IFERROR((D10*E10)/F10,0)</x:f>
        <x:v>7.5</x:v>
      </x:c>
      <x:c r="H10" s="22" t="str">
        <x:v>Scoring assumptions, simulated</x:v>
      </x:c>
    </x:row>
    <x:row r="11" ht="30" customHeight="1">
      <x:c r="A11" s="22" t="str">
        <x:v>FR-3.1.3</x:v>
      </x:c>
      <x:c r="B11" s="22" t="str">
        <x:v>Handle Unavailable Schedules</x:v>
      </x:c>
      <x:c r="C11" s="22" t="str">
        <x:v>Should</x:v>
      </x:c>
      <x:c r="D11" s="22" t="n">
        <x:v>3</x:v>
      </x:c>
      <x:c r="E11" s="22" t="n">
        <x:v>3</x:v>
      </x:c>
      <x:c r="F11" s="22" t="n">
        <x:v>2</x:v>
      </x:c>
      <x:c r="G11" s="22" t="n">
        <x:f>IFERROR((D11*E11)/F11,0)</x:f>
        <x:v>4.5</x:v>
      </x:c>
      <x:c r="H11" s="22" t="str">
        <x:v>Scoring assumptions, simulated</x:v>
      </x:c>
    </x:row>
    <x:row r="12" ht="30" customHeight="1">
      <x:c r="A12" s="22" t="str">
        <x:v>FR-4.1.1</x:v>
      </x:c>
      <x:c r="B12" s="22" t="str">
        <x:v>Create Appointment</x:v>
      </x:c>
      <x:c r="C12" s="22" t="str">
        <x:v>Must</x:v>
      </x:c>
      <x:c r="D12" s="22" t="n">
        <x:v>5</x:v>
      </x:c>
      <x:c r="E12" s="22" t="n">
        <x:v>4</x:v>
      </x:c>
      <x:c r="F12" s="22" t="n">
        <x:v>4</x:v>
      </x:c>
      <x:c r="G12" s="22" t="n">
        <x:f>IFERROR((D12*E12)/F12,0)</x:f>
        <x:v>5</x:v>
      </x:c>
      <x:c r="H12" s="22" t="str">
        <x:v>Scoring assumptions, simulated</x:v>
      </x:c>
    </x:row>
    <x:row r="13" ht="30" customHeight="1">
      <x:c r="A13" s="22" t="str">
        <x:v>FR-4.1.2</x:v>
      </x:c>
      <x:c r="B13" s="22" t="str">
        <x:v>Prevent Overbooking</x:v>
      </x:c>
      <x:c r="C13" s="22" t="str">
        <x:v>Must</x:v>
      </x:c>
      <x:c r="D13" s="22" t="n">
        <x:v>5</x:v>
      </x:c>
      <x:c r="E13" s="22" t="n">
        <x:v>4</x:v>
      </x:c>
      <x:c r="F13" s="22" t="n">
        <x:v>4</x:v>
      </x:c>
      <x:c r="G13" s="22" t="n">
        <x:f>IFERROR((D13*E13)/F13,0)</x:f>
        <x:v>5</x:v>
      </x:c>
      <x:c r="H13" s="22" t="str">
        <x:v>Scoring assumptions, simulated</x:v>
      </x:c>
    </x:row>
    <x:row r="14" ht="30" customHeight="1">
      <x:c r="A14" s="22" t="str">
        <x:v>FR-4.1.3</x:v>
      </x:c>
      <x:c r="B14" s="22" t="str">
        <x:v>Reject Ineligible Slot</x:v>
      </x:c>
      <x:c r="C14" s="22" t="str">
        <x:v>Must</x:v>
      </x:c>
      <x:c r="D14" s="22" t="n">
        <x:v>5</x:v>
      </x:c>
      <x:c r="E14" s="22" t="n">
        <x:v>4</x:v>
      </x:c>
      <x:c r="F14" s="22" t="n">
        <x:v>4</x:v>
      </x:c>
      <x:c r="G14" s="22" t="n">
        <x:f>IFERROR((D14*E14)/F14,0)</x:f>
        <x:v>5</x:v>
      </x:c>
      <x:c r="H14" s="22" t="str">
        <x:v>Scoring assumptions, simulated</x:v>
      </x:c>
    </x:row>
    <x:row r="15" ht="30" customHeight="1">
      <x:c r="A15" s="22" t="str">
        <x:v>FR-5.1.1</x:v>
      </x:c>
      <x:c r="B15" s="22" t="str">
        <x:v>List My Appointments</x:v>
      </x:c>
      <x:c r="C15" s="22" t="str">
        <x:v>Must</x:v>
      </x:c>
      <x:c r="D15" s="22" t="n">
        <x:v>5</x:v>
      </x:c>
      <x:c r="E15" s="22" t="n">
        <x:v>3</x:v>
      </x:c>
      <x:c r="F15" s="22" t="n">
        <x:v>2</x:v>
      </x:c>
      <x:c r="G15" s="22" t="n">
        <x:f>IFERROR((D15*E15)/F15,0)</x:f>
        <x:v>7.5</x:v>
      </x:c>
      <x:c r="H15" s="22" t="str">
        <x:v>Scoring assumptions, simulated</x:v>
      </x:c>
    </x:row>
    <x:row r="16" ht="30" customHeight="1">
      <x:c r="A16" s="22" t="str">
        <x:v>FR-5.1.2</x:v>
      </x:c>
      <x:c r="B16" s="22" t="str">
        <x:v>Display Appointment Details</x:v>
      </x:c>
      <x:c r="C16" s="22" t="str">
        <x:v>Should</x:v>
      </x:c>
      <x:c r="D16" s="22" t="n">
        <x:v>3</x:v>
      </x:c>
      <x:c r="E16" s="22" t="n">
        <x:v>3</x:v>
      </x:c>
      <x:c r="F16" s="22" t="n">
        <x:v>2</x:v>
      </x:c>
      <x:c r="G16" s="22" t="n">
        <x:f>IFERROR((D16*E16)/F16,0)</x:f>
        <x:v>4.5</x:v>
      </x:c>
      <x:c r="H16" s="22" t="str">
        <x:v>Scoring assumptions, simulated</x:v>
      </x:c>
    </x:row>
    <x:row r="17" ht="30" customHeight="1">
      <x:c r="A17" s="22" t="str">
        <x:v>FR-6.1.1</x:v>
      </x:c>
      <x:c r="B17" s="22" t="str">
        <x:v>Cancel Within Allowed Window</x:v>
      </x:c>
      <x:c r="C17" s="22" t="str">
        <x:v>Must</x:v>
      </x:c>
      <x:c r="D17" s="22" t="n">
        <x:v>5</x:v>
      </x:c>
      <x:c r="E17" s="22" t="n">
        <x:v>4</x:v>
      </x:c>
      <x:c r="F17" s="22" t="n">
        <x:v>2</x:v>
      </x:c>
      <x:c r="G17" s="22" t="n">
        <x:f>IFERROR((D17*E17)/F17,0)</x:f>
        <x:v>10</x:v>
      </x:c>
      <x:c r="H17" s="22" t="str">
        <x:v>Scoring assumptions, simulated</x:v>
      </x:c>
    </x:row>
    <x:row r="18" ht="30" customHeight="1">
      <x:c r="A18" s="22" t="str">
        <x:v>FR-6.1.2</x:v>
      </x:c>
      <x:c r="B18" s="22" t="str">
        <x:v>Block Late or Unauthorized Cancellation</x:v>
      </x:c>
      <x:c r="C18" s="22" t="str">
        <x:v>Must</x:v>
      </x:c>
      <x:c r="D18" s="22" t="n">
        <x:v>5</x:v>
      </x:c>
      <x:c r="E18" s="22" t="n">
        <x:v>4</x:v>
      </x:c>
      <x:c r="F18" s="22" t="n">
        <x:v>2</x:v>
      </x:c>
      <x:c r="G18" s="22" t="n">
        <x:f>IFERROR((D18*E18)/F18,0)</x:f>
        <x:v>10</x:v>
      </x:c>
      <x:c r="H18" s="22" t="str">
        <x:v>Scoring assumptions, simulated</x:v>
      </x:c>
    </x:row>
    <x:row r="19" ht="30" customHeight="1">
      <x:c r="A19" s="22" t="str">
        <x:v>FR-7.1.1</x:v>
      </x:c>
      <x:c r="B19" s="22" t="str">
        <x:v>Atomic Appointment Rescheduling</x:v>
      </x:c>
      <x:c r="C19" s="22" t="str">
        <x:v>Must</x:v>
      </x:c>
      <x:c r="D19" s="22" t="n">
        <x:v>5</x:v>
      </x:c>
      <x:c r="E19" s="22" t="n">
        <x:v>4</x:v>
      </x:c>
      <x:c r="F19" s="22" t="n">
        <x:v>4</x:v>
      </x:c>
      <x:c r="G19" s="22" t="n">
        <x:f>IFERROR((D19*E19)/F19,0)</x:f>
        <x:v>5</x:v>
      </x:c>
      <x:c r="H19" s="22" t="str">
        <x:v>Scoring assumptions, simulated</x:v>
      </x:c>
    </x:row>
    <x:row r="20" ht="30" customHeight="1">
      <x:c r="A20" s="22" t="str">
        <x:v>FR-7.1.2</x:v>
      </x:c>
      <x:c r="B20" s="22" t="str">
        <x:v>Preserve Booking on Rescheduling Failure</x:v>
      </x:c>
      <x:c r="C20" s="22" t="str">
        <x:v>Must</x:v>
      </x:c>
      <x:c r="D20" s="22" t="n">
        <x:v>5</x:v>
      </x:c>
      <x:c r="E20" s="22" t="n">
        <x:v>4</x:v>
      </x:c>
      <x:c r="F20" s="22" t="n">
        <x:v>4</x:v>
      </x:c>
      <x:c r="G20" s="22" t="n">
        <x:f>IFERROR((D20*E20)/F20,0)</x:f>
        <x:v>5</x:v>
      </x:c>
      <x:c r="H20" s="22" t="str">
        <x:v>Scoring assumptions, simulated</x:v>
      </x:c>
    </x:row>
    <x:row r="21" ht="30" customHeight="1">
      <x:c r="A21" s="22" t="str">
        <x:v>FR-8.1.1</x:v>
      </x:c>
      <x:c r="B21" s="22" t="str">
        <x:v>Validate Reception Check-in</x:v>
      </x:c>
      <x:c r="C21" s="22" t="str">
        <x:v>Must</x:v>
      </x:c>
      <x:c r="D21" s="22" t="n">
        <x:v>5</x:v>
      </x:c>
      <x:c r="E21" s="22" t="n">
        <x:v>4</x:v>
      </x:c>
      <x:c r="F21" s="22" t="n">
        <x:v>2</x:v>
      </x:c>
      <x:c r="G21" s="22" t="n">
        <x:f>IFERROR((D21*E21)/F21,0)</x:f>
        <x:v>10</x:v>
      </x:c>
      <x:c r="H21" s="22" t="str">
        <x:v>Scoring assumptions, simulated</x:v>
      </x:c>
    </x:row>
    <x:row r="22" ht="30" customHeight="1">
      <x:c r="A22" s="22" t="str">
        <x:v>FR-8.1.2</x:v>
      </x:c>
      <x:c r="B22" s="22" t="str">
        <x:v>Prevent Duplicate Check-in</x:v>
      </x:c>
      <x:c r="C22" s="22" t="str">
        <x:v>Must</x:v>
      </x:c>
      <x:c r="D22" s="22" t="n">
        <x:v>5</x:v>
      </x:c>
      <x:c r="E22" s="22" t="n">
        <x:v>4</x:v>
      </x:c>
      <x:c r="F22" s="22" t="n">
        <x:v>2</x:v>
      </x:c>
      <x:c r="G22" s="22" t="n">
        <x:f>IFERROR((D22*E22)/F22,0)</x:f>
        <x:v>10</x:v>
      </x:c>
      <x:c r="H22" s="22" t="str">
        <x:v>Scoring assumptions, simulated</x:v>
      </x:c>
    </x:row>
    <x:row r="23" ht="30" customHeight="1">
      <x:c r="A23" s="22" t="str">
        <x:v>FR-9.1.1</x:v>
      </x:c>
      <x:c r="B23" s="22" t="str">
        <x:v>View Assigned Doctor Queue</x:v>
      </x:c>
      <x:c r="C23" s="22" t="str">
        <x:v>Must</x:v>
      </x:c>
      <x:c r="D23" s="22" t="n">
        <x:v>5</x:v>
      </x:c>
      <x:c r="E23" s="22" t="n">
        <x:v>3</x:v>
      </x:c>
      <x:c r="F23" s="22" t="n">
        <x:v>2</x:v>
      </x:c>
      <x:c r="G23" s="22" t="n">
        <x:f>IFERROR((D23*E23)/F23,0)</x:f>
        <x:v>7.5</x:v>
      </x:c>
      <x:c r="H23" s="22" t="str">
        <x:v>Scoring assumptions, simulated</x:v>
      </x:c>
    </x:row>
    <x:row r="24" ht="30" customHeight="1">
      <x:c r="A24" s="22" t="str">
        <x:v>FR-9.1.2</x:v>
      </x:c>
      <x:c r="B24" s="22" t="str">
        <x:v>Start Consultation</x:v>
      </x:c>
      <x:c r="C24" s="22" t="str">
        <x:v>Must</x:v>
      </x:c>
      <x:c r="D24" s="22" t="n">
        <x:v>5</x:v>
      </x:c>
      <x:c r="E24" s="22" t="n">
        <x:v>3</x:v>
      </x:c>
      <x:c r="F24" s="22" t="n">
        <x:v>2</x:v>
      </x:c>
      <x:c r="G24" s="22" t="n">
        <x:f>IFERROR((D24*E24)/F24,0)</x:f>
        <x:v>7.5</x:v>
      </x:c>
      <x:c r="H24" s="22" t="str">
        <x:v>Scoring assumptions, simulated</x:v>
      </x:c>
    </x:row>
    <x:row r="25" ht="30" customHeight="1">
      <x:c r="A25" s="22" t="str">
        <x:v>FR-9.1.3</x:v>
      </x:c>
      <x:c r="B25" s="22" t="str">
        <x:v>Complete Consultation</x:v>
      </x:c>
      <x:c r="C25" s="22" t="str">
        <x:v>Must</x:v>
      </x:c>
      <x:c r="D25" s="22" t="n">
        <x:v>5</x:v>
      </x:c>
      <x:c r="E25" s="22" t="n">
        <x:v>3</x:v>
      </x:c>
      <x:c r="F25" s="22" t="n">
        <x:v>2</x:v>
      </x:c>
      <x:c r="G25" s="22" t="n">
        <x:f>IFERROR((D25*E25)/F25,0)</x:f>
        <x:v>7.5</x:v>
      </x:c>
      <x:c r="H25" s="22" t="str">
        <x:v>Scoring assumptions, simulated</x:v>
      </x:c>
    </x:row>
    <x:row r="26" ht="30" customHeight="1">
      <x:c r="A26" s="22" t="str">
        <x:v>FR-10.1.1</x:v>
      </x:c>
      <x:c r="B26" s="22" t="str">
        <x:v>Prevent Overlapping Physician Slots</x:v>
      </x:c>
      <x:c r="C26" s="22" t="str">
        <x:v>Must</x:v>
      </x:c>
      <x:c r="D26" s="22" t="n">
        <x:v>5</x:v>
      </x:c>
      <x:c r="E26" s="22" t="n">
        <x:v>3</x:v>
      </x:c>
      <x:c r="F26" s="22" t="n">
        <x:v>4</x:v>
      </x:c>
      <x:c r="G26" s="22" t="n">
        <x:f>IFERROR((D26*E26)/F26,0)</x:f>
        <x:v>3.75</x:v>
      </x:c>
      <x:c r="H26" s="22" t="str">
        <x:v>Scoring assumptions, simulated</x:v>
      </x:c>
    </x:row>
    <x:row r="27" ht="30" customHeight="1">
      <x:c r="A27" s="22" t="str">
        <x:v>FR-10.1.2</x:v>
      </x:c>
      <x:c r="B27" s="22" t="str">
        <x:v>Handle Unexpected Physician Absence</x:v>
      </x:c>
      <x:c r="C27" s="22" t="str">
        <x:v>Must</x:v>
      </x:c>
      <x:c r="D27" s="22" t="n">
        <x:v>5</x:v>
      </x:c>
      <x:c r="E27" s="22" t="n">
        <x:v>3</x:v>
      </x:c>
      <x:c r="F27" s="22" t="n">
        <x:v>4</x:v>
      </x:c>
      <x:c r="G27" s="22" t="n">
        <x:f>IFERROR((D27*E27)/F27,0)</x:f>
        <x:v>3.75</x:v>
      </x:c>
      <x:c r="H27" s="22" t="str">
        <x:v>Scoring assumptions, simulated</x:v>
      </x:c>
    </x:row>
    <x:row r="28" ht="30" customHeight="1">
      <x:c r="A28" s="22" t="str">
        <x:v>FR-10.1.3</x:v>
      </x:c>
      <x:c r="B28" s="22" t="str">
        <x:v>Audit Schedule Changes</x:v>
      </x:c>
      <x:c r="C28" s="22" t="str">
        <x:v>Must</x:v>
      </x:c>
      <x:c r="D28" s="22" t="n">
        <x:v>5</x:v>
      </x:c>
      <x:c r="E28" s="22" t="n">
        <x:v>3</x:v>
      </x:c>
      <x:c r="F28" s="22" t="n">
        <x:v>4</x:v>
      </x:c>
      <x:c r="G28" s="22" t="n">
        <x:f>IFERROR((D28*E28)/F28,0)</x:f>
        <x:v>3.75</x:v>
      </x:c>
      <x:c r="H28" s="22" t="str">
        <x:v>Scoring assumptions, simulated</x:v>
      </x:c>
    </x:row>
    <x:row r="29" ht="30" customHeight="1">
      <x:c r="A29" s="22" t="str">
        <x:v>FR-11.1.1</x:v>
      </x:c>
      <x:c r="B29" s="22" t="str">
        <x:v>Enqueue Notification Events</x:v>
      </x:c>
      <x:c r="C29" s="22" t="str">
        <x:v>Should</x:v>
      </x:c>
      <x:c r="D29" s="22" t="n">
        <x:v>3</x:v>
      </x:c>
      <x:c r="E29" s="22" t="n">
        <x:v>3</x:v>
      </x:c>
      <x:c r="F29" s="22" t="n">
        <x:v>2</x:v>
      </x:c>
      <x:c r="G29" s="22" t="n">
        <x:f>IFERROR((D29*E29)/F29,0)</x:f>
        <x:v>4.5</x:v>
      </x:c>
      <x:c r="H29" s="22" t="str">
        <x:v>Scoring assumptions, simulated</x:v>
      </x:c>
    </x:row>
    <x:row r="30" ht="30" customHeight="1">
      <x:c r="A30" s="22" t="str">
        <x:v>FR-11.1.2</x:v>
      </x:c>
      <x:c r="B30" s="22" t="str">
        <x:v>Preserve Appointment During Notification Failure</x:v>
      </x:c>
      <x:c r="C30" s="22" t="str">
        <x:v>Should</x:v>
      </x:c>
      <x:c r="D30" s="22" t="n">
        <x:v>3</x:v>
      </x:c>
      <x:c r="E30" s="22" t="n">
        <x:v>3</x:v>
      </x:c>
      <x:c r="F30" s="22" t="n">
        <x:v>2</x:v>
      </x:c>
      <x:c r="G30" s="22" t="n">
        <x:f>IFERROR((D30*E30)/F30,0)</x:f>
        <x:v>4.5</x:v>
      </x:c>
      <x:c r="H30" s="22" t="str">
        <x:v>Scoring assumptions, simulated</x:v>
      </x:c>
    </x:row>
    <x:row r="31" ht="30" customHeight="1">
      <x:c r="A31" s="22" t="str">
        <x:v>FR-12.1.1</x:v>
      </x:c>
      <x:c r="B31" s="22" t="str">
        <x:v>Count Appointments by Status</x:v>
      </x:c>
      <x:c r="C31" s="22" t="str">
        <x:v>Should</x:v>
      </x:c>
      <x:c r="D31" s="22" t="n">
        <x:v>3</x:v>
      </x:c>
      <x:c r="E31" s="22" t="n">
        <x:v>3</x:v>
      </x:c>
      <x:c r="F31" s="22" t="n">
        <x:v>2</x:v>
      </x:c>
      <x:c r="G31" s="22" t="n">
        <x:f>IFERROR((D31*E31)/F31,0)</x:f>
        <x:v>4.5</x:v>
      </x:c>
      <x:c r="H31" s="22" t="str">
        <x:v>Scoring assumptions, simulated</x:v>
      </x:c>
    </x:row>
    <x:row r="32" ht="30" customHeight="1">
      <x:c r="A32" s="22" t="str">
        <x:v>FR-12.1.2</x:v>
      </x:c>
      <x:c r="B32" s="22" t="str">
        <x:v>Retrieve Audit Records</x:v>
      </x:c>
      <x:c r="C32" s="22" t="str">
        <x:v>Must</x:v>
      </x:c>
      <x:c r="D32" s="22" t="n">
        <x:v>5</x:v>
      </x:c>
      <x:c r="E32" s="22" t="n">
        <x:v>3</x:v>
      </x:c>
      <x:c r="F32" s="22" t="n">
        <x:v>2</x:v>
      </x:c>
      <x:c r="G32" s="22" t="n">
        <x:f>IFERROR((D32*E32)/F32,0)</x:f>
        <x:v>7.5</x:v>
      </x:c>
      <x:c r="H32" s="22" t="str">
        <x:v>Scoring assumptions, simulated</x:v>
      </x:c>
    </x:row>
    <x:row r="33" ht="30" customHeight="1">
      <x:c r="A33" s="22" t="str">
        <x:v>FR-12.1.3</x:v>
      </x:c>
      <x:c r="B33" s="22" t="str">
        <x:v>Restrict Administrative Reports</x:v>
      </x:c>
      <x:c r="C33" s="22" t="str">
        <x:v>Must</x:v>
      </x:c>
      <x:c r="D33" s="22" t="n">
        <x:v>5</x:v>
      </x:c>
      <x:c r="E33" s="22" t="n">
        <x:v>3</x:v>
      </x:c>
      <x:c r="F33" s="22" t="n">
        <x:v>2</x:v>
      </x:c>
      <x:c r="G33" s="22" t="n">
        <x:f>IFERROR((D33*E33)/F33,0)</x:f>
        <x:v>7.5</x:v>
      </x:c>
      <x:c r="H33" s="22" t="str">
        <x:v>Scoring assumptions, simulated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5" customHeight="1">
      <x:c r="A1" s="4" t="str">
        <x:v>HOAS | 28_Tools_Process</x:v>
      </x:c>
      <x:c r="B1" s="4"/>
      <x:c r="C1" s="4"/>
      <x:c r="D1" s="4"/>
    </x:row>
    <x:row r="2" ht="30" customHeight="1">
      <x:c r="A2" s="10" t="str">
        <x:v>Tool inventory and chapter-milestone schedule</x:v>
      </x:c>
      <x:c r="B2" s="10"/>
      <x:c r="C2" s="10"/>
      <x:c r="D2" s="10"/>
    </x:row>
    <x:row r="3" ht="38" customHeight="1">
      <x:c r="A3" s="27" t="str">
        <x:v>Type</x:v>
      </x:c>
      <x:c r="B3" s="27" t="str">
        <x:v>Name</x:v>
      </x:c>
      <x:c r="C3" s="27" t="str">
        <x:v>Purpose</x:v>
      </x:c>
      <x:c r="D3" s="27" t="str">
        <x:v>Evidence / Milestone</x:v>
      </x:c>
    </x:row>
    <x:row r="4" ht="30" customHeight="1">
      <x:c r="A4" s="22" t="str">
        <x:v>Tool</x:v>
      </x:c>
      <x:c r="B4" s="22" t="str">
        <x:v>Python course requirements_toolkit</x:v>
      </x:c>
      <x:c r="C4" s="22" t="str">
        <x:v>Create RequirementSet, generate SRS, trace links</x:v>
      </x:c>
      <x:c r="D4" s="22" t="str">
        <x:v>08_Python_Toolkit</x:v>
      </x:c>
    </x:row>
    <x:row r="5" ht="30" customHeight="1">
      <x:c r="A5" s="22" t="str">
        <x:v>Tool</x:v>
      </x:c>
      <x:c r="B5" s="22" t="str">
        <x:v>Graphviz DOT + optional PlantUML</x:v>
      </x:c>
      <x:c r="C5" s="22" t="str">
        <x:v>Render 9 editable diagram sources</x:v>
      </x:c>
      <x:c r="D5" s="22" t="str">
        <x:v>07_Diagrams</x:v>
      </x:c>
    </x:row>
    <x:row r="6" ht="30" customHeight="1">
      <x:c r="A6" s="22" t="str">
        <x:v>Tool</x:v>
      </x:c>
      <x:c r="B6" s="22" t="str">
        <x:v>Excel Workbook</x:v>
      </x:c>
      <x:c r="C6" s="22" t="str">
        <x:v>Requirement data and coverage formulas</x:v>
      </x:c>
      <x:c r="D6" s="22" t="str">
        <x:v>01_Excel</x:v>
      </x:c>
    </x:row>
    <x:row r="7" ht="30" customHeight="1">
      <x:c r="A7" s="22" t="str">
        <x:v>Tool</x:v>
      </x:c>
      <x:c r="B7" s="22" t="str">
        <x:v>unittest</x:v>
      </x:c>
      <x:c r="C7" s="22" t="str">
        <x:v>Execute 35 Python prototype tests</x:v>
      </x:c>
      <x:c r="D7" s="22" t="str">
        <x:v>08_Python_Toolkit/outputs</x:v>
      </x:c>
    </x:row>
    <x:row r="8" ht="30" customHeight="1">
      <x:c r="A8" s="22" t="str">
        <x:v>Milestone</x:v>
      </x:c>
      <x:c r="B8" s="22" t="str">
        <x:v>M1 – Proposal</x:v>
      </x:c>
      <x:c r="C8" s="22" t="str">
        <x:v>Problem, stakeholders, elicitation plan</x:v>
      </x:c>
      <x:c r="D8" s="22" t="str">
        <x:v>02_Word/Final_Report</x:v>
      </x:c>
    </x:row>
    <x:row r="9" ht="30" customHeight="1">
      <x:c r="A9" s="22" t="str">
        <x:v>Milestone</x:v>
      </x:c>
      <x:c r="B9" s="22" t="str">
        <x:v>M2 – Models and 15+ FR</x:v>
      </x:c>
      <x:c r="C9" s="22" t="str">
        <x:v>12 UC + 30 FR</x:v>
      </x:c>
      <x:c r="D9" s="22" t="str">
        <x:v>01_Excel and diagrams</x:v>
      </x:c>
    </x:row>
    <x:row r="10" ht="30" customHeight="1">
      <x:c r="A10" s="22" t="str">
        <x:v>Milestone</x:v>
      </x:c>
      <x:c r="B10" s="22" t="str">
        <x:v>M3 – Validation</x:v>
      </x:c>
      <x:c r="C10" s="22" t="str">
        <x:v>6 issues, simulations labeled</x:v>
      </x:c>
      <x:c r="D10" s="22" t="str">
        <x:v>22_Validation</x:v>
      </x:c>
    </x:row>
    <x:row r="11" ht="30" customHeight="1">
      <x:c r="A11" s="22" t="str">
        <x:v>Milestone</x:v>
      </x:c>
      <x:c r="B11" s="22" t="str">
        <x:v>M4 – Change log + NFR</x:v>
      </x:c>
      <x:c r="C11" s="22" t="str">
        <x:v>2 CR + 10 NFR</x:v>
      </x:c>
      <x:c r="D11" s="22" t="str">
        <x:v>18_ChangeLog + 09_NFR</x:v>
      </x:c>
    </x:row>
    <x:row r="12" ht="30" customHeight="1">
      <x:c r="A12" s="22" t="str">
        <x:v>Milestone</x:v>
      </x:c>
      <x:c r="B12" s="22" t="str">
        <x:v>M5 – Full SRS + RTM + Python</x:v>
      </x:c>
      <x:c r="C12" s="22" t="str">
        <x:v>Docs and generated artifacts</x:v>
      </x:c>
      <x:c r="D12" s="22" t="str">
        <x:v>03_SRS + 08_Toolkit</x:v>
      </x:c>
    </x:row>
    <x:row r="13" ht="30" customHeight="1">
      <x:c r="A13" s="22" t="str">
        <x:v>Milestone</x:v>
      </x:c>
      <x:c r="B13" s="22" t="str">
        <x:v>Final – Report</x:v>
      </x:c>
      <x:c r="C13" s="22" t="str">
        <x:v>15-25 pages main report target</x:v>
      </x:c>
      <x:c r="D13" s="22" t="str">
        <x:v>02_Word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</x:cols>
  <x:sheetData>
    <x:row r="1" ht="35" customHeight="1">
      <x:c r="A1" s="4" t="str">
        <x:v>HOAS | 29_Submission</x:v>
      </x:c>
      <x:c r="B1" s="4"/>
      <x:c r="C1" s="4"/>
    </x:row>
    <x:row r="2" ht="30" customHeight="1">
      <x:c r="A2" s="10" t="str">
        <x:v>Pre-submission checklist, explicit work remaining</x:v>
      </x:c>
      <x:c r="B2" s="10"/>
      <x:c r="C2" s="10"/>
    </x:row>
    <x:row r="3" ht="38" customHeight="1">
      <x:c r="A3" s="27" t="str">
        <x:v>Checklist item</x:v>
      </x:c>
      <x:c r="B3" s="27" t="str">
        <x:v>Where</x:v>
      </x:c>
      <x:c r="C3" s="27" t="str">
        <x:v>Status / notes</x:v>
      </x:c>
    </x:row>
    <x:row r="4" ht="30" customHeight="1">
      <x:c r="A4" s="22" t="str">
        <x:v>Final report 15–25 pages excluding appendices</x:v>
      </x:c>
      <x:c r="B4" s="22" t="str">
        <x:v>02_Word/Final_Report_HOAS_Group05.docx</x:v>
      </x:c>
      <x:c r="C4" s="22" t="str">
        <x:v>Check final pagination after Word export</x:v>
      </x:c>
    </x:row>
    <x:row r="5" ht="30" customHeight="1">
      <x:c r="A5" s="22" t="str">
        <x:v>Full SRS</x:v>
      </x:c>
      <x:c r="B5" s="22" t="str">
        <x:v>03_SRS/HOAS_SRS.docx</x:v>
      </x:c>
      <x:c r="C5" s="22" t="str">
        <x:v>Done</x:v>
      </x:c>
    </x:row>
    <x:row r="6" ht="30" customHeight="1">
      <x:c r="A6" s="22" t="str">
        <x:v>Detailed Use Cases</x:v>
      </x:c>
      <x:c r="B6" s="22" t="str">
        <x:v>05_UseCases/HOAS_UseCase_Specifications.docx</x:v>
      </x:c>
      <x:c r="C6" s="22" t="str">
        <x:v>Done</x:v>
      </x:c>
    </x:row>
    <x:row r="7" ht="30" customHeight="1">
      <x:c r="A7" s="22" t="str">
        <x:v>Business scenario</x:v>
      </x:c>
      <x:c r="B7" s="22" t="str">
        <x:v>04_Business_Scenarios/HOAS_Business_Scenarios.docx</x:v>
      </x:c>
      <x:c r="C7" s="22" t="str">
        <x:v>Done</x:v>
      </x:c>
    </x:row>
    <x:row r="8" ht="30" customHeight="1">
      <x:c r="A8" s="22" t="str">
        <x:v>RTM</x:v>
      </x:c>
      <x:c r="B8" s="22" t="str">
        <x:v>01_Excel/HOAS_Requirements_Management_Group05.xlsx</x:v>
      </x:c>
      <x:c r="C8" s="22" t="str">
        <x:v>Done; designed coverage only</x:v>
      </x:c>
    </x:row>
    <x:row r="9" ht="30" customHeight="1">
      <x:c r="A9" s="22" t="str">
        <x:v>Two Change Requests</x:v>
      </x:c>
      <x:c r="B9" s="22" t="str">
        <x:v>Sheet 18_ChangeLog</x:v>
      </x:c>
      <x:c r="C9" s="22" t="str">
        <x:v>Simulated decisions</x:v>
      </x:c>
    </x:row>
    <x:row r="10" ht="30" customHeight="1">
      <x:c r="A10" s="22" t="str">
        <x:v>Model diagrams 9</x:v>
      </x:c>
      <x:c r="B10" s="22" t="str">
        <x:v>07_Diagrams</x:v>
      </x:c>
      <x:c r="C10" s="22" t="str">
        <x:v>DOT/PNG</x:v>
      </x:c>
    </x:row>
    <x:row r="11" ht="30" customHeight="1">
      <x:c r="A11" s="22" t="str">
        <x:v>Python artifacts + reproducible test evidence</x:v>
      </x:c>
      <x:c r="B11" s="22" t="str">
        <x:v>08_Python_Toolkit</x:v>
      </x:c>
      <x:c r="C11" s="22" t="str">
        <x:v>35 prototype tests</x:v>
      </x:c>
    </x:row>
    <x:row r="12" ht="30" customHeight="1">
      <x:c r="A12" s="22" t="str">
        <x:v>Teacher/class missing on cover</x:v>
      </x:c>
      <x:c r="B12" s="22" t="str">
        <x:v>02_Word</x:v>
      </x:c>
      <x:c r="C12" s="22" t="str">
        <x:v>Fill in manually</x:v>
      </x:c>
    </x:row>
    <x:row r="13" ht="30" customHeight="1">
      <x:c r="A13" s="22" t="str">
        <x:v>Real stakeholder acceptance</x:v>
      </x:c>
      <x:c r="B13" s="22" t="str">
        <x:v>N/A</x:v>
      </x:c>
      <x:c r="C13" s="22" t="str">
        <x:v>Pending: simulated class exercise</x:v>
      </x:c>
    </x:row>
    <x:row r="14" ht="30" customHeight="1">
      <x:c r="A14" s="22" t="str">
        <x:v>Load 200 users + TLS + 99.5% availability</x:v>
      </x:c>
      <x:c r="B14" s="22" t="str">
        <x:v>N/A</x:v>
      </x:c>
      <x:c r="C14" s="22" t="str">
        <x:v>Not executed; requires deployment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35" customHeight="1">
      <x:c r="A1" s="4" t="str">
        <x:v>HOAS | 30_Scenario_Chain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10" t="str">
        <x:v>SC -&gt; FR -&gt; BR -&gt; UC -&gt; NFR -&gt; Hazard -&gt; TC -&gt; Activity (18 scenarios)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38" customHeight="1">
      <x:c r="A3" s="27" t="str">
        <x:v>SC</x:v>
      </x:c>
      <x:c r="B3" s="27" t="str">
        <x:v>Scenario</x:v>
      </x:c>
      <x:c r="C3" s="27" t="str">
        <x:v>Actor</x:v>
      </x:c>
      <x:c r="D3" s="27" t="str">
        <x:v>UC</x:v>
      </x:c>
      <x:c r="E3" s="27" t="str">
        <x:v>FR IDs</x:v>
      </x:c>
      <x:c r="F3" s="27" t="str">
        <x:v>Business Rules</x:v>
      </x:c>
      <x:c r="G3" s="27" t="str">
        <x:v>NFR (context)</x:v>
      </x:c>
      <x:c r="H3" s="27" t="str">
        <x:v>Hazard (context)</x:v>
      </x:c>
      <x:c r="I3" s="27" t="str">
        <x:v>Test Cases</x:v>
      </x:c>
      <x:c r="J3" s="27" t="str">
        <x:v>Activity / Model</x:v>
      </x:c>
    </x:row>
    <x:row r="4" ht="30" customHeight="1">
      <x:c r="A4" s="22" t="str">
        <x:v>SC-01</x:v>
      </x:c>
      <x:c r="B4" s="22" t="str">
        <x:v>Successful Appointment Booking</x:v>
      </x:c>
      <x:c r="C4" s="22" t="str">
        <x:v>Patient</x:v>
      </x:c>
      <x:c r="D4" s="22" t="str">
        <x:v>UC-03; UC-04</x:v>
      </x:c>
      <x:c r="E4" s="22" t="str">
        <x:v>FR-3.1.1; FR-3.1.2; FR-3.1.3; FR-4.1.1; FR-4.1.2; FR-4.1.3</x:v>
      </x:c>
      <x:c r="F4" s="22" t="str">
        <x:v>BR-02; BR-03; BR-12</x:v>
      </x:c>
      <x:c r="G4" s="22" t="str">
        <x:v>NFR-1.1; NFR-1.2; NFR-2.1; NFR-5.1</x:v>
      </x:c>
      <x:c r="H4" s="22" t="str">
        <x:v>HZ-01</x:v>
      </x:c>
      <x:c r="I4" s="22" t="str">
        <x:v>TC-009; TC-010; TC-013; TC-014; TC-044</x:v>
      </x:c>
      <x:c r="J4" s="22" t="str">
        <x:v>M-02 Booking Activity</x:v>
      </x:c>
    </x:row>
    <x:row r="5" ht="30" customHeight="1">
      <x:c r="A5" s="22" t="str">
        <x:v>SC-02</x:v>
      </x:c>
      <x:c r="B5" s="22" t="str">
        <x:v>Concurrent Requests for the Last Place</x:v>
      </x:c>
      <x:c r="C5" s="22" t="str">
        <x:v>2 patients</x:v>
      </x:c>
      <x:c r="D5" s="22" t="str">
        <x:v>UC-04</x:v>
      </x:c>
      <x:c r="E5" s="22" t="str">
        <x:v>FR-4.1.1; FR-4.1.2; FR-4.1.3</x:v>
      </x:c>
      <x:c r="F5" s="22" t="str">
        <x:v>BR-03</x:v>
      </x:c>
      <x:c r="G5" s="22" t="str">
        <x:v>NFR-2.1</x:v>
      </x:c>
      <x:c r="H5" s="22" t="str">
        <x:v>HZ-01</x:v>
      </x:c>
      <x:c r="I5" s="22" t="str">
        <x:v>TC-015; TC-016</x:v>
      </x:c>
      <x:c r="J5" s="22" t="str">
        <x:v>M-02 Booking Activity</x:v>
      </x:c>
    </x:row>
    <x:row r="6" ht="30" customHeight="1">
      <x:c r="A6" s="22" t="str">
        <x:v>SC-03</x:v>
      </x:c>
      <x:c r="B6" s="22" t="str">
        <x:v>No Appointment Slots Available</x:v>
      </x:c>
      <x:c r="C6" s="22" t="str">
        <x:v>Patient</x:v>
      </x:c>
      <x:c r="D6" s="22" t="str">
        <x:v>UC-03</x:v>
      </x:c>
      <x:c r="E6" s="22" t="str">
        <x:v>FR-3.1.1; FR-3.1.2; FR-3.1.3</x:v>
      </x:c>
      <x:c r="F6" s="22" t="str">
        <x:v>BR-02; BR-03</x:v>
      </x:c>
      <x:c r="G6" s="22" t="str">
        <x:v>NFR-1.1; NFR-5.1</x:v>
      </x:c>
      <x:c r="H6" s="22" t="str">
        <x:v>HZ-01</x:v>
      </x:c>
      <x:c r="I6" s="22" t="str">
        <x:v>TC-011; TC-012; TC-018</x:v>
      </x:c>
      <x:c r="J6" s="22" t="str">
        <x:v>M-02 Booking Activity</x:v>
      </x:c>
    </x:row>
    <x:row r="7" ht="30" customHeight="1">
      <x:c r="A7" s="22" t="str">
        <x:v>SC-04</x:v>
      </x:c>
      <x:c r="B7" s="22" t="str">
        <x:v>Cancellation Before the Deadline</x:v>
      </x:c>
      <x:c r="C7" s="22" t="str">
        <x:v>Patient</x:v>
      </x:c>
      <x:c r="D7" s="22" t="str">
        <x:v>UC-06</x:v>
      </x:c>
      <x:c r="E7" s="22" t="str">
        <x:v>FR-6.1.1; FR-6.1.2</x:v>
      </x:c>
      <x:c r="F7" s="22" t="str">
        <x:v>BR-04; BR-11; BR-12</x:v>
      </x:c>
      <x:c r="G7" s="22" t="str">
        <x:v>NFR-6.1</x:v>
      </x:c>
      <x:c r="H7" s="22" t="str">
        <x:v>—</x:v>
      </x:c>
      <x:c r="I7" s="22" t="str">
        <x:v>TC-022; TC-023; TC-026; TC-045</x:v>
      </x:c>
      <x:c r="J7" s="22" t="str">
        <x:v>M-05 Appointment State Machine</x:v>
      </x:c>
    </x:row>
    <x:row r="8" ht="30" customHeight="1">
      <x:c r="A8" s="22" t="str">
        <x:v>SC-05</x:v>
      </x:c>
      <x:c r="B8" s="22" t="str">
        <x:v>Late Cancellation Attempt</x:v>
      </x:c>
      <x:c r="C8" s="22" t="str">
        <x:v>Patient</x:v>
      </x:c>
      <x:c r="D8" s="22" t="str">
        <x:v>UC-06</x:v>
      </x:c>
      <x:c r="E8" s="22" t="str">
        <x:v>FR-6.1.1; FR-6.1.2</x:v>
      </x:c>
      <x:c r="F8" s="22" t="str">
        <x:v>BR-04</x:v>
      </x:c>
      <x:c r="G8" s="22" t="str">
        <x:v>NFR-3.1</x:v>
      </x:c>
      <x:c r="H8" s="22" t="str">
        <x:v>—</x:v>
      </x:c>
      <x:c r="I8" s="22" t="str">
        <x:v>TC-024</x:v>
      </x:c>
      <x:c r="J8" s="22" t="str">
        <x:v>M-05 Appointment State Machine</x:v>
      </x:c>
    </x:row>
    <x:row r="9" ht="30" customHeight="1">
      <x:c r="A9" s="22" t="str">
        <x:v>SC-06</x:v>
      </x:c>
      <x:c r="B9" s="22" t="str">
        <x:v>Successful Appointment Rescheduling</x:v>
      </x:c>
      <x:c r="C9" s="22" t="str">
        <x:v>Patient</x:v>
      </x:c>
      <x:c r="D9" s="22" t="str">
        <x:v>UC-07</x:v>
      </x:c>
      <x:c r="E9" s="22" t="str">
        <x:v>FR-7.1.1; FR-7.1.2</x:v>
      </x:c>
      <x:c r="F9" s="22" t="str">
        <x:v>BR-05; BR-11</x:v>
      </x:c>
      <x:c r="G9" s="22" t="str">
        <x:v>NFR-2.2; NFR-6.1</x:v>
      </x:c>
      <x:c r="H9" s="22" t="str">
        <x:v>HZ-05</x:v>
      </x:c>
      <x:c r="I9" s="22" t="str">
        <x:v>TC-027; TC-030</x:v>
      </x:c>
      <x:c r="J9" s="22" t="str">
        <x:v>M-03 Reschedule Activity</x:v>
      </x:c>
    </x:row>
    <x:row r="10" ht="30" customHeight="1">
      <x:c r="A10" s="22" t="str">
        <x:v>SC-07</x:v>
      </x:c>
      <x:c r="B10" s="22" t="str">
        <x:v>New Slot Is Full During Rescheduling</x:v>
      </x:c>
      <x:c r="C10" s="22" t="str">
        <x:v>Patient</x:v>
      </x:c>
      <x:c r="D10" s="22" t="str">
        <x:v>UC-07</x:v>
      </x:c>
      <x:c r="E10" s="22" t="str">
        <x:v>FR-7.1.1; FR-7.1.2</x:v>
      </x:c>
      <x:c r="F10" s="22" t="str">
        <x:v>BR-05</x:v>
      </x:c>
      <x:c r="G10" s="22" t="str">
        <x:v>NFR-2.2</x:v>
      </x:c>
      <x:c r="H10" s="22" t="str">
        <x:v>HZ-05</x:v>
      </x:c>
      <x:c r="I10" s="22" t="str">
        <x:v>TC-028; TC-029</x:v>
      </x:c>
      <x:c r="J10" s="22" t="str">
        <x:v>M-03 Reschedule Activity</x:v>
      </x:c>
    </x:row>
    <x:row r="11" ht="30" customHeight="1">
      <x:c r="A11" s="22" t="str">
        <x:v>SC-08</x:v>
      </x:c>
      <x:c r="B11" s="22" t="str">
        <x:v>Patient Arrival and Check-in</x:v>
      </x:c>
      <x:c r="C11" s="22" t="str">
        <x:v>Receptionist</x:v>
      </x:c>
      <x:c r="D11" s="22" t="str">
        <x:v>UC-08</x:v>
      </x:c>
      <x:c r="E11" s="22" t="str">
        <x:v>FR-8.1.1; FR-8.1.2</x:v>
      </x:c>
      <x:c r="F11" s="22" t="str">
        <x:v>BR-06; BR-10</x:v>
      </x:c>
      <x:c r="G11" s="22" t="str">
        <x:v>NFR-3.1; NFR-6.1</x:v>
      </x:c>
      <x:c r="H11" s="22" t="str">
        <x:v>HZ-03</x:v>
      </x:c>
      <x:c r="I11" s="22" t="str">
        <x:v>TC-031; TC-033; TC-034</x:v>
      </x:c>
      <x:c r="J11" s="22" t="str">
        <x:v>M-04 Reception Check-in Activity</x:v>
      </x:c>
    </x:row>
    <x:row r="12" ht="30" customHeight="1">
      <x:c r="A12" s="22" t="str">
        <x:v>SC-09</x:v>
      </x:c>
      <x:c r="B12" s="22" t="str">
        <x:v>Unexpected Physician Absence</x:v>
      </x:c>
      <x:c r="C12" s="22" t="str">
        <x:v>Administrator</x:v>
      </x:c>
      <x:c r="D12" s="22" t="str">
        <x:v>UC-10</x:v>
      </x:c>
      <x:c r="E12" s="22" t="str">
        <x:v>FR-10.1.1; FR-10.1.2; FR-10.1.3</x:v>
      </x:c>
      <x:c r="F12" s="22" t="str">
        <x:v>BR-09; BR-11</x:v>
      </x:c>
      <x:c r="G12" s="22" t="str">
        <x:v>NFR-2.1; NFR-6.1</x:v>
      </x:c>
      <x:c r="H12" s="22" t="str">
        <x:v>HZ-04</x:v>
      </x:c>
      <x:c r="I12" s="22" t="str">
        <x:v>TC-017; TC-042</x:v>
      </x:c>
      <x:c r="J12" s="22" t="str">
        <x:v>M-05 Appointment State Machine</x:v>
      </x:c>
    </x:row>
    <x:row r="13" ht="30" customHeight="1">
      <x:c r="A13" s="22" t="str">
        <x:v>SC-10</x:v>
      </x:c>
      <x:c r="B13" s="22" t="str">
        <x:v>Patient Arrives Late</x:v>
      </x:c>
      <x:c r="C13" s="22" t="str">
        <x:v>Receptionist</x:v>
      </x:c>
      <x:c r="D13" s="22" t="str">
        <x:v>UC-08</x:v>
      </x:c>
      <x:c r="E13" s="22" t="str">
        <x:v>FR-8.1.1; FR-8.1.2</x:v>
      </x:c>
      <x:c r="F13" s="22" t="str">
        <x:v>BR-06</x:v>
      </x:c>
      <x:c r="G13" s="22" t="str">
        <x:v>NFR-3.1</x:v>
      </x:c>
      <x:c r="H13" s="22" t="str">
        <x:v>HZ-03</x:v>
      </x:c>
      <x:c r="I13" s="22" t="str">
        <x:v>TC-032</x:v>
      </x:c>
      <x:c r="J13" s="22" t="str">
        <x:v>M-04 Reception Check-in Activity</x:v>
      </x:c>
    </x:row>
    <x:row r="14" ht="30" customHeight="1">
      <x:c r="A14" s="22" t="str">
        <x:v>SC-11</x:v>
      </x:c>
      <x:c r="B14" s="22" t="str">
        <x:v>Doctor Updates Consultation Progress</x:v>
      </x:c>
      <x:c r="C14" s="22" t="str">
        <x:v>Doctor</x:v>
      </x:c>
      <x:c r="D14" s="22" t="str">
        <x:v>UC-09</x:v>
      </x:c>
      <x:c r="E14" s="22" t="str">
        <x:v>FR-9.1.1; FR-9.1.2; FR-9.1.3</x:v>
      </x:c>
      <x:c r="F14" s="22" t="str">
        <x:v>BR-07; BR-11</x:v>
      </x:c>
      <x:c r="G14" s="22" t="str">
        <x:v>NFR-3.1; NFR-6.1</x:v>
      </x:c>
      <x:c r="H14" s="22" t="str">
        <x:v>—</x:v>
      </x:c>
      <x:c r="I14" s="22" t="str">
        <x:v>TC-035; TC-036; TC-037; TC-038; TC-039</x:v>
      </x:c>
      <x:c r="J14" s="22" t="str">
        <x:v>M-05 Appointment State Machine</x:v>
      </x:c>
    </x:row>
    <x:row r="15" ht="30" customHeight="1">
      <x:c r="A15" s="22" t="str">
        <x:v>SC-12</x:v>
      </x:c>
      <x:c r="B15" s="22" t="str">
        <x:v>Notification Provider Outage</x:v>
      </x:c>
      <x:c r="C15" s="22" t="str">
        <x:v>Notification Service</x:v>
      </x:c>
      <x:c r="D15" s="22" t="str">
        <x:v>UC-11</x:v>
      </x:c>
      <x:c r="E15" s="22" t="str">
        <x:v>FR-11.1.1; FR-11.1.2</x:v>
      </x:c>
      <x:c r="F15" s="22" t="str">
        <x:v>BR-12</x:v>
      </x:c>
      <x:c r="G15" s="22" t="str">
        <x:v>NFR-7.1</x:v>
      </x:c>
      <x:c r="H15" s="22" t="str">
        <x:v>HZ-06</x:v>
      </x:c>
      <x:c r="I15" s="22" t="str">
        <x:v>TC-046; TC-047</x:v>
      </x:c>
      <x:c r="J15" s="22" t="str">
        <x:v>M-07 DFD Level 1</x:v>
      </x:c>
    </x:row>
    <x:row r="16" ht="30" customHeight="1">
      <x:c r="A16" s="22" t="str">
        <x:v>SC-13</x:v>
      </x:c>
      <x:c r="B16" s="22" t="str">
        <x:v>Unauthorized Appointment Access</x:v>
      </x:c>
      <x:c r="C16" s="22" t="str">
        <x:v>Unauthorized user</x:v>
      </x:c>
      <x:c r="D16" s="22" t="str">
        <x:v>UC-05; UC-12</x:v>
      </x:c>
      <x:c r="E16" s="22" t="str">
        <x:v>FR-12.1.1; FR-12.1.2; FR-12.1.3; FR-5.1.1; FR-5.1.2</x:v>
      </x:c>
      <x:c r="F16" s="22" t="str">
        <x:v>BR-10</x:v>
      </x:c>
      <x:c r="G16" s="22" t="str">
        <x:v>NFR-3.1; NFR-3.2</x:v>
      </x:c>
      <x:c r="H16" s="22" t="str">
        <x:v>HZ-02</x:v>
      </x:c>
      <x:c r="I16" s="22" t="str">
        <x:v>TC-020; TC-025; TC-050</x:v>
      </x:c>
      <x:c r="J16" s="22" t="str">
        <x:v>M-06 DFD Context</x:v>
      </x:c>
    </x:row>
    <x:row r="17" ht="30" customHeight="1">
      <x:c r="A17" s="22" t="str">
        <x:v>SC-14</x:v>
      </x:c>
      <x:c r="B17" s="22" t="str">
        <x:v>Administrator Reviews Appointment Counts</x:v>
      </x:c>
      <x:c r="C17" s="22" t="str">
        <x:v>Administrator</x:v>
      </x:c>
      <x:c r="D17" s="22" t="str">
        <x:v>UC-12</x:v>
      </x:c>
      <x:c r="E17" s="22" t="str">
        <x:v>FR-12.1.1; FR-12.1.2; FR-12.1.3</x:v>
      </x:c>
      <x:c r="F17" s="22" t="str">
        <x:v>BR-10; BR-11</x:v>
      </x:c>
      <x:c r="G17" s="22" t="str">
        <x:v>NFR-3.1; NFR-6.1</x:v>
      </x:c>
      <x:c r="H17" s="22" t="str">
        <x:v>HZ-02</x:v>
      </x:c>
      <x:c r="I17" s="22" t="str">
        <x:v>TC-048; TC-049</x:v>
      </x:c>
      <x:c r="J17" s="22" t="str">
        <x:v>M-07 DFD Level 1</x:v>
      </x:c>
    </x:row>
    <x:row r="18" ht="30" customHeight="1">
      <x:c r="A18" s="22" t="str">
        <x:v>SC-15</x:v>
      </x:c>
      <x:c r="B18" s="22" t="str">
        <x:v>Patient Registration and Secure Sign-in</x:v>
      </x:c>
      <x:c r="C18" s="22" t="str">
        <x:v>Patient</x:v>
      </x:c>
      <x:c r="D18" s="22" t="str">
        <x:v>UC-01</x:v>
      </x:c>
      <x:c r="E18" s="22" t="str">
        <x:v>FR-1.1.1; FR-1.1.2; FR-1.1.3</x:v>
      </x:c>
      <x:c r="F18" s="22" t="str">
        <x:v>BR-01</x:v>
      </x:c>
      <x:c r="G18" s="22" t="str">
        <x:v>NFR-3.1; NFR-3.2; NFR-4.1</x:v>
      </x:c>
      <x:c r="H18" s="22" t="str">
        <x:v>HZ-02</x:v>
      </x:c>
      <x:c r="I18" s="22" t="str">
        <x:v>TC-001; TC-002; TC-003; TC-004; TC-005</x:v>
      </x:c>
      <x:c r="J18" s="22" t="str">
        <x:v>M-01 System Use Case Diagram</x:v>
      </x:c>
    </x:row>
    <x:row r="19" ht="30" customHeight="1">
      <x:c r="A19" s="22" t="str">
        <x:v>SC-16</x:v>
      </x:c>
      <x:c r="B19" s="22" t="str">
        <x:v>Patient Views and Updates Own Profile</x:v>
      </x:c>
      <x:c r="C19" s="22" t="str">
        <x:v>Patient</x:v>
      </x:c>
      <x:c r="D19" s="22" t="str">
        <x:v>UC-02</x:v>
      </x:c>
      <x:c r="E19" s="22" t="str">
        <x:v>FR-2.1.1; FR-2.1.2</x:v>
      </x:c>
      <x:c r="F19" s="22" t="str">
        <x:v>BR-01; BR-10</x:v>
      </x:c>
      <x:c r="G19" s="22" t="str">
        <x:v>NFR-3.1</x:v>
      </x:c>
      <x:c r="H19" s="22" t="str">
        <x:v>HZ-02</x:v>
      </x:c>
      <x:c r="I19" s="22" t="str">
        <x:v>TC-006; TC-007; TC-008</x:v>
      </x:c>
      <x:c r="J19" s="22" t="str">
        <x:v>M-01 System Use Case Diagram</x:v>
      </x:c>
    </x:row>
    <x:row r="20" ht="30" customHeight="1">
      <x:c r="A20" s="22" t="str">
        <x:v>SC-17</x:v>
      </x:c>
      <x:c r="B20" s="22" t="str">
        <x:v>Patient Reviews a Booking and Privacy Boundary</x:v>
      </x:c>
      <x:c r="C20" s="22" t="str">
        <x:v>Patient</x:v>
      </x:c>
      <x:c r="D20" s="22" t="str">
        <x:v>UC-05</x:v>
      </x:c>
      <x:c r="E20" s="22" t="str">
        <x:v>FR-5.1.1; FR-5.1.2</x:v>
      </x:c>
      <x:c r="F20" s="22" t="str">
        <x:v>BR-10</x:v>
      </x:c>
      <x:c r="G20" s="22" t="str">
        <x:v>NFR-3.1</x:v>
      </x:c>
      <x:c r="H20" s="22" t="str">
        <x:v>HZ-02</x:v>
      </x:c>
      <x:c r="I20" s="22" t="str">
        <x:v>TC-019; TC-021</x:v>
      </x:c>
      <x:c r="J20" s="22" t="str">
        <x:v>M-01 System Use Case Diagram</x:v>
      </x:c>
    </x:row>
    <x:row r="21" ht="30" customHeight="1">
      <x:c r="A21" s="22" t="str">
        <x:v>SC-18</x:v>
      </x:c>
      <x:c r="B21" s="22" t="str">
        <x:v>Administrator Creates and Audits Physician Slots</x:v>
      </x:c>
      <x:c r="C21" s="22" t="str">
        <x:v>Administrator</x:v>
      </x:c>
      <x:c r="D21" s="22" t="str">
        <x:v>UC-10</x:v>
      </x:c>
      <x:c r="E21" s="22" t="str">
        <x:v>FR-10.1.1; FR-10.1.2; FR-10.1.3</x:v>
      </x:c>
      <x:c r="F21" s="22" t="str">
        <x:v>BR-08; BR-09; BR-11</x:v>
      </x:c>
      <x:c r="G21" s="22" t="str">
        <x:v>NFR-6.1</x:v>
      </x:c>
      <x:c r="H21" s="22" t="str">
        <x:v>HZ-04</x:v>
      </x:c>
      <x:c r="I21" s="22" t="str">
        <x:v>TC-040; TC-041; TC-043</x:v>
      </x:c>
      <x:c r="J21" s="22" t="str">
        <x:v>M-05 Appointment State Machine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</x:cols>
  <x:sheetData>
    <x:row r="1" ht="35" customHeight="1">
      <x:c r="A1" s="4" t="str">
        <x:v>HOAS | 31_TC_Execution_Flow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10" t="str">
        <x:v>Each of 50 planned TC cases mapped to input and actual prototype evidence; NFR targets NOT automatically verified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38" customHeight="1">
      <x:c r="A3" s="27" t="str">
        <x:v>SC ID</x:v>
      </x:c>
      <x:c r="B3" s="27" t="str">
        <x:v>FR ID</x:v>
      </x:c>
      <x:c r="C3" s="27" t="str">
        <x:v>BR (FR)</x:v>
      </x:c>
      <x:c r="D3" s="27" t="str">
        <x:v>UC ID</x:v>
      </x:c>
      <x:c r="E3" s="27" t="str">
        <x:v>NFR (scenario)</x:v>
      </x:c>
      <x:c r="F3" s="27" t="str">
        <x:v>Hazard (scenario)</x:v>
      </x:c>
      <x:c r="G3" s="27" t="str">
        <x:v>TC ID</x:v>
      </x:c>
      <x:c r="H3" s="27" t="str">
        <x:v>Test name</x:v>
      </x:c>
      <x:c r="I3" s="27" t="str">
        <x:v>Activity / Model</x:v>
      </x:c>
      <x:c r="J3" s="27" t="str">
        <x:v>Input JSON</x:v>
      </x:c>
      <x:c r="K3" s="27" t="str">
        <x:v>Input CSV</x:v>
      </x:c>
      <x:c r="L3" s="27" t="str">
        <x:v>Actual result</x:v>
      </x:c>
      <x:c r="M3" s="27" t="str">
        <x:v>Evidence</x:v>
      </x:c>
      <x:c r="N3" s="27" t="str">
        <x:v>Production proof</x:v>
      </x:c>
    </x:row>
    <x:row r="4" ht="30" customHeight="1">
      <x:c r="A4" s="22" t="str">
        <x:v>SC-15</x:v>
      </x:c>
      <x:c r="B4" s="22" t="str">
        <x:v>FR-1.1.1</x:v>
      </x:c>
      <x:c r="C4" s="22" t="str">
        <x:v>BR-01</x:v>
      </x:c>
      <x:c r="D4" s="22" t="str">
        <x:v>UC-01</x:v>
      </x:c>
      <x:c r="E4" s="22" t="str">
        <x:v>NFR-3.1; NFR-3.2; NFR-4.1</x:v>
      </x:c>
      <x:c r="F4" s="22" t="str">
        <x:v>HZ-02</x:v>
      </x:c>
      <x:c r="G4" s="22" t="str">
        <x:v>TC-001</x:v>
      </x:c>
      <x:c r="H4" s="22" t="str">
        <x:v>Valid registration</x:v>
      </x:c>
      <x:c r="I4" s="22" t="str">
        <x:v>M-01 System Use Case Diagram</x:v>
      </x:c>
      <x:c r="J4" s="22" t="str">
        <x:v>09_Data_Driven_Testing/input/test_cases_input.json</x:v>
      </x:c>
      <x:c r="K4" s="22" t="str">
        <x:v>09_Data_Driven_Testing/input/test_cases_input.csv</x:v>
      </x:c>
      <x:c r="L4" s="22" t="str">
        <x:v>PASS - prototype JSON+CSV</x:v>
      </x:c>
      <x:c r="M4" s="22" t="str">
        <x:v>09_Data_Driven_Testing/results/json_all_comparison.csv</x:v>
      </x:c>
      <x:c r="N4" s="22" t="str">
        <x:v>NOT VERIFIED</x:v>
      </x:c>
    </x:row>
    <x:row r="5" ht="30" customHeight="1">
      <x:c r="A5" s="22" t="str">
        <x:v>SC-15</x:v>
      </x:c>
      <x:c r="B5" s="22" t="str">
        <x:v>FR-1.1.2</x:v>
      </x:c>
      <x:c r="C5" s="22" t="str">
        <x:v>BR-01</x:v>
      </x:c>
      <x:c r="D5" s="22" t="str">
        <x:v>UC-01</x:v>
      </x:c>
      <x:c r="E5" s="22" t="str">
        <x:v>NFR-3.1; NFR-3.2; NFR-4.1</x:v>
      </x:c>
      <x:c r="F5" s="22" t="str">
        <x:v>HZ-02</x:v>
      </x:c>
      <x:c r="G5" s="22" t="str">
        <x:v>TC-002</x:v>
      </x:c>
      <x:c r="H5" s="22" t="str">
        <x:v>Missing date of birth</x:v>
      </x:c>
      <x:c r="I5" s="22" t="str">
        <x:v>M-01 System Use Case Diagram</x:v>
      </x:c>
      <x:c r="J5" s="22" t="str">
        <x:v>09_Data_Driven_Testing/input/test_cases_input.json</x:v>
      </x:c>
      <x:c r="K5" s="22" t="str">
        <x:v>09_Data_Driven_Testing/input/test_cases_input.csv</x:v>
      </x:c>
      <x:c r="L5" s="22" t="str">
        <x:v>PASS - prototype JSON+CSV</x:v>
      </x:c>
      <x:c r="M5" s="22" t="str">
        <x:v>09_Data_Driven_Testing/results/json_all_comparison.csv</x:v>
      </x:c>
      <x:c r="N5" s="22" t="str">
        <x:v>NOT VERIFIED</x:v>
      </x:c>
    </x:row>
    <x:row r="6" ht="30" customHeight="1">
      <x:c r="A6" s="22" t="str">
        <x:v>SC-15</x:v>
      </x:c>
      <x:c r="B6" s="22" t="str">
        <x:v>FR-1.1.2</x:v>
      </x:c>
      <x:c r="C6" s="22" t="str">
        <x:v>BR-01</x:v>
      </x:c>
      <x:c r="D6" s="22" t="str">
        <x:v>UC-01</x:v>
      </x:c>
      <x:c r="E6" s="22" t="str">
        <x:v>NFR-3.1; NFR-3.2; NFR-4.1</x:v>
      </x:c>
      <x:c r="F6" s="22" t="str">
        <x:v>HZ-02</x:v>
      </x:c>
      <x:c r="G6" s="22" t="str">
        <x:v>TC-003</x:v>
      </x:c>
      <x:c r="H6" s="22" t="str">
        <x:v>Duplicate phone number</x:v>
      </x:c>
      <x:c r="I6" s="22" t="str">
        <x:v>M-01 System Use Case Diagram</x:v>
      </x:c>
      <x:c r="J6" s="22" t="str">
        <x:v>09_Data_Driven_Testing/input/test_cases_input.json</x:v>
      </x:c>
      <x:c r="K6" s="22" t="str">
        <x:v>09_Data_Driven_Testing/input/test_cases_input.csv</x:v>
      </x:c>
      <x:c r="L6" s="22" t="str">
        <x:v>PASS - prototype JSON+CSV</x:v>
      </x:c>
      <x:c r="M6" s="22" t="str">
        <x:v>09_Data_Driven_Testing/results/json_all_comparison.csv</x:v>
      </x:c>
      <x:c r="N6" s="22" t="str">
        <x:v>NOT VERIFIED</x:v>
      </x:c>
    </x:row>
    <x:row r="7" ht="30" customHeight="1">
      <x:c r="A7" s="22" t="str">
        <x:v>SC-15</x:v>
      </x:c>
      <x:c r="B7" s="22" t="str">
        <x:v>FR-1.1.3</x:v>
      </x:c>
      <x:c r="C7" s="22" t="str">
        <x:v>BR-01</x:v>
      </x:c>
      <x:c r="D7" s="22" t="str">
        <x:v>UC-01</x:v>
      </x:c>
      <x:c r="E7" s="22" t="str">
        <x:v>NFR-3.1; NFR-3.2; NFR-4.1</x:v>
      </x:c>
      <x:c r="F7" s="22" t="str">
        <x:v>HZ-02</x:v>
      </x:c>
      <x:c r="G7" s="22" t="str">
        <x:v>TC-004</x:v>
      </x:c>
      <x:c r="H7" s="22" t="str">
        <x:v>Valid sign-in</x:v>
      </x:c>
      <x:c r="I7" s="22" t="str">
        <x:v>M-01 System Use Case Diagram</x:v>
      </x:c>
      <x:c r="J7" s="22" t="str">
        <x:v>09_Data_Driven_Testing/input/test_cases_input.json</x:v>
      </x:c>
      <x:c r="K7" s="22" t="str">
        <x:v>09_Data_Driven_Testing/input/test_cases_input.csv</x:v>
      </x:c>
      <x:c r="L7" s="22" t="str">
        <x:v>PASS - prototype JSON+CSV</x:v>
      </x:c>
      <x:c r="M7" s="22" t="str">
        <x:v>09_Data_Driven_Testing/results/json_all_comparison.csv</x:v>
      </x:c>
      <x:c r="N7" s="22" t="str">
        <x:v>NOT VERIFIED</x:v>
      </x:c>
    </x:row>
    <x:row r="8" ht="30" customHeight="1">
      <x:c r="A8" s="22" t="str">
        <x:v>SC-15</x:v>
      </x:c>
      <x:c r="B8" s="22" t="str">
        <x:v>FR-1.1.3</x:v>
      </x:c>
      <x:c r="C8" s="22" t="str">
        <x:v>BR-01</x:v>
      </x:c>
      <x:c r="D8" s="22" t="str">
        <x:v>UC-01</x:v>
      </x:c>
      <x:c r="E8" s="22" t="str">
        <x:v>NFR-3.1; NFR-3.2; NFR-4.1</x:v>
      </x:c>
      <x:c r="F8" s="22" t="str">
        <x:v>HZ-02</x:v>
      </x:c>
      <x:c r="G8" s="22" t="str">
        <x:v>TC-005</x:v>
      </x:c>
      <x:c r="H8" s="22" t="str">
        <x:v>Incorrect password</x:v>
      </x:c>
      <x:c r="I8" s="22" t="str">
        <x:v>M-01 System Use Case Diagram</x:v>
      </x:c>
      <x:c r="J8" s="22" t="str">
        <x:v>09_Data_Driven_Testing/input/test_cases_input.json</x:v>
      </x:c>
      <x:c r="K8" s="22" t="str">
        <x:v>09_Data_Driven_Testing/input/test_cases_input.csv</x:v>
      </x:c>
      <x:c r="L8" s="22" t="str">
        <x:v>PASS - prototype JSON+CSV</x:v>
      </x:c>
      <x:c r="M8" s="22" t="str">
        <x:v>09_Data_Driven_Testing/results/json_all_comparison.csv</x:v>
      </x:c>
      <x:c r="N8" s="22" t="str">
        <x:v>NOT VERIFIED</x:v>
      </x:c>
    </x:row>
    <x:row r="9" ht="30" customHeight="1">
      <x:c r="A9" s="22" t="str">
        <x:v>SC-16</x:v>
      </x:c>
      <x:c r="B9" s="22" t="str">
        <x:v>FR-2.1.1</x:v>
      </x:c>
      <x:c r="C9" s="22" t="str">
        <x:v>BR-10</x:v>
      </x:c>
      <x:c r="D9" s="22" t="str">
        <x:v>UC-02</x:v>
      </x:c>
      <x:c r="E9" s="22" t="str">
        <x:v>NFR-3.1</x:v>
      </x:c>
      <x:c r="F9" s="22" t="str">
        <x:v>HZ-02</x:v>
      </x:c>
      <x:c r="G9" s="22" t="str">
        <x:v>TC-006</x:v>
      </x:c>
      <x:c r="H9" s="22" t="str">
        <x:v>View own profile</x:v>
      </x:c>
      <x:c r="I9" s="22" t="str">
        <x:v>M-01 System Use Case Diagram</x:v>
      </x:c>
      <x:c r="J9" s="22" t="str">
        <x:v>09_Data_Driven_Testing/input/test_cases_input.json</x:v>
      </x:c>
      <x:c r="K9" s="22" t="str">
        <x:v>09_Data_Driven_Testing/input/test_cases_input.csv</x:v>
      </x:c>
      <x:c r="L9" s="22" t="str">
        <x:v>PASS - prototype JSON+CSV</x:v>
      </x:c>
      <x:c r="M9" s="22" t="str">
        <x:v>09_Data_Driven_Testing/results/json_all_comparison.csv</x:v>
      </x:c>
      <x:c r="N9" s="22" t="str">
        <x:v>NOT VERIFIED</x:v>
      </x:c>
    </x:row>
    <x:row r="10" ht="30" customHeight="1">
      <x:c r="A10" s="22" t="str">
        <x:v>SC-16</x:v>
      </x:c>
      <x:c r="B10" s="22" t="str">
        <x:v>FR-2.1.2</x:v>
      </x:c>
      <x:c r="C10" s="22" t="str">
        <x:v>BR-10</x:v>
      </x:c>
      <x:c r="D10" s="22" t="str">
        <x:v>UC-02</x:v>
      </x:c>
      <x:c r="E10" s="22" t="str">
        <x:v>NFR-3.1</x:v>
      </x:c>
      <x:c r="F10" s="22" t="str">
        <x:v>HZ-02</x:v>
      </x:c>
      <x:c r="G10" s="22" t="str">
        <x:v>TC-007</x:v>
      </x:c>
      <x:c r="H10" s="22" t="str">
        <x:v>Update address</x:v>
      </x:c>
      <x:c r="I10" s="22" t="str">
        <x:v>M-01 System Use Case Diagram</x:v>
      </x:c>
      <x:c r="J10" s="22" t="str">
        <x:v>09_Data_Driven_Testing/input/test_cases_input.json</x:v>
      </x:c>
      <x:c r="K10" s="22" t="str">
        <x:v>09_Data_Driven_Testing/input/test_cases_input.csv</x:v>
      </x:c>
      <x:c r="L10" s="22" t="str">
        <x:v>PASS - prototype JSON+CSV</x:v>
      </x:c>
      <x:c r="M10" s="22" t="str">
        <x:v>09_Data_Driven_Testing/results/json_all_comparison.csv</x:v>
      </x:c>
      <x:c r="N10" s="22" t="str">
        <x:v>NOT VERIFIED</x:v>
      </x:c>
    </x:row>
    <x:row r="11" ht="30" customHeight="1">
      <x:c r="A11" s="22" t="str">
        <x:v>SC-16</x:v>
      </x:c>
      <x:c r="B11" s="22" t="str">
        <x:v>FR-2.1.2</x:v>
      </x:c>
      <x:c r="C11" s="22" t="str">
        <x:v>BR-10</x:v>
      </x:c>
      <x:c r="D11" s="22" t="str">
        <x:v>UC-02</x:v>
      </x:c>
      <x:c r="E11" s="22" t="str">
        <x:v>NFR-3.1</x:v>
      </x:c>
      <x:c r="F11" s="22" t="str">
        <x:v>HZ-02</x:v>
      </x:c>
      <x:c r="G11" s="22" t="str">
        <x:v>TC-008</x:v>
      </x:c>
      <x:c r="H11" s="22" t="str">
        <x:v>Invalid contact information</x:v>
      </x:c>
      <x:c r="I11" s="22" t="str">
        <x:v>M-01 System Use Case Diagram</x:v>
      </x:c>
      <x:c r="J11" s="22" t="str">
        <x:v>09_Data_Driven_Testing/input/test_cases_input.json</x:v>
      </x:c>
      <x:c r="K11" s="22" t="str">
        <x:v>09_Data_Driven_Testing/input/test_cases_input.csv</x:v>
      </x:c>
      <x:c r="L11" s="22" t="str">
        <x:v>PASS - prototype JSON+CSV</x:v>
      </x:c>
      <x:c r="M11" s="22" t="str">
        <x:v>09_Data_Driven_Testing/results/json_all_comparison.csv</x:v>
      </x:c>
      <x:c r="N11" s="22" t="str">
        <x:v>NOT VERIFIED</x:v>
      </x:c>
    </x:row>
    <x:row r="12" ht="30" customHeight="1">
      <x:c r="A12" s="22" t="str">
        <x:v>SC-01</x:v>
      </x:c>
      <x:c r="B12" s="22" t="str">
        <x:v>FR-3.1.1</x:v>
      </x:c>
      <x:c r="C12" s="22" t="str">
        <x:v>BR-02</x:v>
      </x:c>
      <x:c r="D12" s="22" t="str">
        <x:v>UC-03</x:v>
      </x:c>
      <x:c r="E12" s="22" t="str">
        <x:v>NFR-1.1; NFR-1.2; NFR-2.1; NFR-5.1</x:v>
      </x:c>
      <x:c r="F12" s="22" t="str">
        <x:v>HZ-01</x:v>
      </x:c>
      <x:c r="G12" s="22" t="str">
        <x:v>TC-009</x:v>
      </x:c>
      <x:c r="H12" s="22" t="str">
        <x:v>Search Gastroenterology</x:v>
      </x:c>
      <x:c r="I12" s="22" t="str">
        <x:v>M-02 Booking Activity</x:v>
      </x:c>
      <x:c r="J12" s="22" t="str">
        <x:v>09_Data_Driven_Testing/input/test_cases_input.json</x:v>
      </x:c>
      <x:c r="K12" s="22" t="str">
        <x:v>09_Data_Driven_Testing/input/test_cases_input.csv</x:v>
      </x:c>
      <x:c r="L12" s="22" t="str">
        <x:v>PASS - prototype JSON+CSV</x:v>
      </x:c>
      <x:c r="M12" s="22" t="str">
        <x:v>09_Data_Driven_Testing/results/json_all_comparison.csv</x:v>
      </x:c>
      <x:c r="N12" s="22" t="str">
        <x:v>NOT VERIFIED</x:v>
      </x:c>
    </x:row>
    <x:row r="13" ht="30" customHeight="1">
      <x:c r="A13" s="22" t="str">
        <x:v>SC-01</x:v>
      </x:c>
      <x:c r="B13" s="22" t="str">
        <x:v>FR-3.1.2</x:v>
      </x:c>
      <x:c r="C13" s="22" t="str">
        <x:v>BR-02</x:v>
      </x:c>
      <x:c r="D13" s="22" t="str">
        <x:v>UC-03</x:v>
      </x:c>
      <x:c r="E13" s="22" t="str">
        <x:v>NFR-1.1; NFR-1.2; NFR-2.1; NFR-5.1</x:v>
      </x:c>
      <x:c r="F13" s="22" t="str">
        <x:v>HZ-01</x:v>
      </x:c>
      <x:c r="G13" s="22" t="str">
        <x:v>TC-010</x:v>
      </x:c>
      <x:c r="H13" s="22" t="str">
        <x:v>Available slot has capacity</x:v>
      </x:c>
      <x:c r="I13" s="22" t="str">
        <x:v>M-02 Booking Activity</x:v>
      </x:c>
      <x:c r="J13" s="22" t="str">
        <x:v>09_Data_Driven_Testing/input/test_cases_input.json</x:v>
      </x:c>
      <x:c r="K13" s="22" t="str">
        <x:v>09_Data_Driven_Testing/input/test_cases_input.csv</x:v>
      </x:c>
      <x:c r="L13" s="22" t="str">
        <x:v>PASS - prototype JSON+CSV</x:v>
      </x:c>
      <x:c r="M13" s="22" t="str">
        <x:v>09_Data_Driven_Testing/results/json_all_comparison.csv</x:v>
      </x:c>
      <x:c r="N13" s="22" t="str">
        <x:v>NOT VERIFIED</x:v>
      </x:c>
    </x:row>
    <x:row r="14" ht="30" customHeight="1">
      <x:c r="A14" s="22" t="str">
        <x:v>SC-03</x:v>
      </x:c>
      <x:c r="B14" s="22" t="str">
        <x:v>FR-3.1.2</x:v>
      </x:c>
      <x:c r="C14" s="22" t="str">
        <x:v>BR-02</x:v>
      </x:c>
      <x:c r="D14" s="22" t="str">
        <x:v>UC-03</x:v>
      </x:c>
      <x:c r="E14" s="22" t="str">
        <x:v>NFR-1.1; NFR-5.1</x:v>
      </x:c>
      <x:c r="F14" s="22" t="str">
        <x:v>HZ-01</x:v>
      </x:c>
      <x:c r="G14" s="22" t="str">
        <x:v>TC-011</x:v>
      </x:c>
      <x:c r="H14" s="22" t="str">
        <x:v>Fully booked slot</x:v>
      </x:c>
      <x:c r="I14" s="22" t="str">
        <x:v>M-02 Booking Activity</x:v>
      </x:c>
      <x:c r="J14" s="22" t="str">
        <x:v>09_Data_Driven_Testing/input/test_cases_input.json</x:v>
      </x:c>
      <x:c r="K14" s="22" t="str">
        <x:v>09_Data_Driven_Testing/input/test_cases_input.csv</x:v>
      </x:c>
      <x:c r="L14" s="22" t="str">
        <x:v>PASS - prototype JSON+CSV</x:v>
      </x:c>
      <x:c r="M14" s="22" t="str">
        <x:v>09_Data_Driven_Testing/results/json_all_comparison.csv</x:v>
      </x:c>
      <x:c r="N14" s="22" t="str">
        <x:v>NOT VERIFIED</x:v>
      </x:c>
    </x:row>
    <x:row r="15" ht="30" customHeight="1">
      <x:c r="A15" s="22" t="str">
        <x:v>SC-03</x:v>
      </x:c>
      <x:c r="B15" s="22" t="str">
        <x:v>FR-3.1.3</x:v>
      </x:c>
      <x:c r="C15" s="22" t="str">
        <x:v>BR-02</x:v>
      </x:c>
      <x:c r="D15" s="22" t="str">
        <x:v>UC-03</x:v>
      </x:c>
      <x:c r="E15" s="22" t="str">
        <x:v>NFR-1.1; NFR-5.1</x:v>
      </x:c>
      <x:c r="F15" s="22" t="str">
        <x:v>HZ-01</x:v>
      </x:c>
      <x:c r="G15" s="22" t="str">
        <x:v>TC-012</x:v>
      </x:c>
      <x:c r="H15" s="22" t="str">
        <x:v>Date with no appointments</x:v>
      </x:c>
      <x:c r="I15" s="22" t="str">
        <x:v>M-02 Booking Activity</x:v>
      </x:c>
      <x:c r="J15" s="22" t="str">
        <x:v>09_Data_Driven_Testing/input/test_cases_input.json</x:v>
      </x:c>
      <x:c r="K15" s="22" t="str">
        <x:v>09_Data_Driven_Testing/input/test_cases_input.csv</x:v>
      </x:c>
      <x:c r="L15" s="22" t="str">
        <x:v>PASS - prototype JSON+CSV</x:v>
      </x:c>
      <x:c r="M15" s="22" t="str">
        <x:v>09_Data_Driven_Testing/results/json_all_comparison.csv</x:v>
      </x:c>
      <x:c r="N15" s="22" t="str">
        <x:v>NOT VERIFIED</x:v>
      </x:c>
    </x:row>
    <x:row r="16" ht="30" customHeight="1">
      <x:c r="A16" s="22" t="str">
        <x:v>SC-01</x:v>
      </x:c>
      <x:c r="B16" s="22" t="str">
        <x:v>FR-4.1.1</x:v>
      </x:c>
      <x:c r="C16" s="22" t="str">
        <x:v>BR-03</x:v>
      </x:c>
      <x:c r="D16" s="22" t="str">
        <x:v>UC-04</x:v>
      </x:c>
      <x:c r="E16" s="22" t="str">
        <x:v>NFR-1.1; NFR-1.2; NFR-2.1; NFR-5.1</x:v>
      </x:c>
      <x:c r="F16" s="22" t="str">
        <x:v>HZ-01</x:v>
      </x:c>
      <x:c r="G16" s="22" t="str">
        <x:v>TC-013</x:v>
      </x:c>
      <x:c r="H16" s="22" t="str">
        <x:v>Book available slot</x:v>
      </x:c>
      <x:c r="I16" s="22" t="str">
        <x:v>M-02 Booking Activity</x:v>
      </x:c>
      <x:c r="J16" s="22" t="str">
        <x:v>09_Data_Driven_Testing/input/test_cases_input.json</x:v>
      </x:c>
      <x:c r="K16" s="22" t="str">
        <x:v>09_Data_Driven_Testing/input/test_cases_input.csv</x:v>
      </x:c>
      <x:c r="L16" s="22" t="str">
        <x:v>PASS - prototype JSON+CSV</x:v>
      </x:c>
      <x:c r="M16" s="22" t="str">
        <x:v>09_Data_Driven_Testing/results/json_all_comparison.csv</x:v>
      </x:c>
      <x:c r="N16" s="22" t="str">
        <x:v>NOT VERIFIED</x:v>
      </x:c>
    </x:row>
    <x:row r="17" ht="30" customHeight="1">
      <x:c r="A17" s="22" t="str">
        <x:v>SC-01</x:v>
      </x:c>
      <x:c r="B17" s="22" t="str">
        <x:v>FR-4.1.1</x:v>
      </x:c>
      <x:c r="C17" s="22" t="str">
        <x:v>BR-03</x:v>
      </x:c>
      <x:c r="D17" s="22" t="str">
        <x:v>UC-04</x:v>
      </x:c>
      <x:c r="E17" s="22" t="str">
        <x:v>NFR-1.1; NFR-1.2; NFR-2.1; NFR-5.1</x:v>
      </x:c>
      <x:c r="F17" s="22" t="str">
        <x:v>HZ-01</x:v>
      </x:c>
      <x:c r="G17" s="22" t="str">
        <x:v>TC-014</x:v>
      </x:c>
      <x:c r="H17" s="22" t="str">
        <x:v>Repeated appointment ID</x:v>
      </x:c>
      <x:c r="I17" s="22" t="str">
        <x:v>M-02 Booking Activity</x:v>
      </x:c>
      <x:c r="J17" s="22" t="str">
        <x:v>09_Data_Driven_Testing/input/test_cases_input.json</x:v>
      </x:c>
      <x:c r="K17" s="22" t="str">
        <x:v>09_Data_Driven_Testing/input/test_cases_input.csv</x:v>
      </x:c>
      <x:c r="L17" s="22" t="str">
        <x:v>PASS - prototype JSON+CSV</x:v>
      </x:c>
      <x:c r="M17" s="22" t="str">
        <x:v>09_Data_Driven_Testing/results/json_all_comparison.csv</x:v>
      </x:c>
      <x:c r="N17" s="22" t="str">
        <x:v>NOT VERIFIED</x:v>
      </x:c>
    </x:row>
    <x:row r="18" ht="30" customHeight="1">
      <x:c r="A18" s="22" t="str">
        <x:v>SC-02</x:v>
      </x:c>
      <x:c r="B18" s="22" t="str">
        <x:v>FR-4.1.2</x:v>
      </x:c>
      <x:c r="C18" s="22" t="str">
        <x:v>BR-02</x:v>
      </x:c>
      <x:c r="D18" s="22" t="str">
        <x:v>UC-04</x:v>
      </x:c>
      <x:c r="E18" s="22" t="str">
        <x:v>NFR-2.1</x:v>
      </x:c>
      <x:c r="F18" s="22" t="str">
        <x:v>HZ-01</x:v>
      </x:c>
      <x:c r="G18" s="22" t="str">
        <x:v>TC-015</x:v>
      </x:c>
      <x:c r="H18" s="22" t="str">
        <x:v>Two patients competing for one place</x:v>
      </x:c>
      <x:c r="I18" s="22" t="str">
        <x:v>M-02 Booking Activity</x:v>
      </x:c>
      <x:c r="J18" s="22" t="str">
        <x:v>09_Data_Driven_Testing/input/test_cases_input.json</x:v>
      </x:c>
      <x:c r="K18" s="22" t="str">
        <x:v>09_Data_Driven_Testing/input/test_cases_input.csv</x:v>
      </x:c>
      <x:c r="L18" s="22" t="str">
        <x:v>PASS - prototype JSON+CSV</x:v>
      </x:c>
      <x:c r="M18" s="22" t="str">
        <x:v>09_Data_Driven_Testing/results/json_all_comparison.csv</x:v>
      </x:c>
      <x:c r="N18" s="22" t="str">
        <x:v>NOT VERIFIED</x:v>
      </x:c>
    </x:row>
    <x:row r="19" ht="30" customHeight="1">
      <x:c r="A19" s="22" t="str">
        <x:v>SC-02</x:v>
      </x:c>
      <x:c r="B19" s="22" t="str">
        <x:v>FR-4.1.2</x:v>
      </x:c>
      <x:c r="C19" s="22" t="str">
        <x:v>BR-02</x:v>
      </x:c>
      <x:c r="D19" s="22" t="str">
        <x:v>UC-04</x:v>
      </x:c>
      <x:c r="E19" s="22" t="str">
        <x:v>NFR-2.1</x:v>
      </x:c>
      <x:c r="F19" s="22" t="str">
        <x:v>HZ-01</x:v>
      </x:c>
      <x:c r="G19" s="22" t="str">
        <x:v>TC-016</x:v>
      </x:c>
      <x:c r="H19" s="22" t="str">
        <x:v>One hundred threads competing for one place</x:v>
      </x:c>
      <x:c r="I19" s="22" t="str">
        <x:v>M-02 Booking Activity</x:v>
      </x:c>
      <x:c r="J19" s="22" t="str">
        <x:v>09_Data_Driven_Testing/input/test_cases_input.json</x:v>
      </x:c>
      <x:c r="K19" s="22" t="str">
        <x:v>09_Data_Driven_Testing/input/test_cases_input.csv</x:v>
      </x:c>
      <x:c r="L19" s="22" t="str">
        <x:v>PASS - prototype JSON+CSV</x:v>
      </x:c>
      <x:c r="M19" s="22" t="str">
        <x:v>09_Data_Driven_Testing/results/json_all_comparison.csv</x:v>
      </x:c>
      <x:c r="N19" s="22" t="str">
        <x:v>NOT VERIFIED</x:v>
      </x:c>
    </x:row>
    <x:row r="20" ht="30" customHeight="1">
      <x:c r="A20" s="22" t="str">
        <x:v>SC-09</x:v>
      </x:c>
      <x:c r="B20" s="22" t="str">
        <x:v>FR-4.1.3</x:v>
      </x:c>
      <x:c r="C20" s="22" t="str">
        <x:v>BR-02</x:v>
      </x:c>
      <x:c r="D20" s="22" t="str">
        <x:v>UC-04</x:v>
      </x:c>
      <x:c r="E20" s="22" t="str">
        <x:v>NFR-2.1; NFR-6.1</x:v>
      </x:c>
      <x:c r="F20" s="22" t="str">
        <x:v>HZ-04</x:v>
      </x:c>
      <x:c r="G20" s="22" t="str">
        <x:v>TC-017</x:v>
      </x:c>
      <x:c r="H20" s="22" t="str">
        <x:v>Doctor becomes unavailable</x:v>
      </x:c>
      <x:c r="I20" s="22" t="str">
        <x:v>M-05 Appointment State Machine</x:v>
      </x:c>
      <x:c r="J20" s="22" t="str">
        <x:v>09_Data_Driven_Testing/input/test_cases_input.json</x:v>
      </x:c>
      <x:c r="K20" s="22" t="str">
        <x:v>09_Data_Driven_Testing/input/test_cases_input.csv</x:v>
      </x:c>
      <x:c r="L20" s="22" t="str">
        <x:v>PASS - prototype JSON+CSV</x:v>
      </x:c>
      <x:c r="M20" s="22" t="str">
        <x:v>09_Data_Driven_Testing/results/json_all_comparison.csv</x:v>
      </x:c>
      <x:c r="N20" s="22" t="str">
        <x:v>NOT VERIFIED</x:v>
      </x:c>
    </x:row>
    <x:row r="21" ht="30" customHeight="1">
      <x:c r="A21" s="22" t="str">
        <x:v>SC-03</x:v>
      </x:c>
      <x:c r="B21" s="22" t="str">
        <x:v>FR-4.1.3</x:v>
      </x:c>
      <x:c r="C21" s="22" t="str">
        <x:v>BR-02</x:v>
      </x:c>
      <x:c r="D21" s="22" t="str">
        <x:v>UC-04</x:v>
      </x:c>
      <x:c r="E21" s="22" t="str">
        <x:v>NFR-1.1; NFR-5.1</x:v>
      </x:c>
      <x:c r="F21" s="22" t="str">
        <x:v>HZ-01</x:v>
      </x:c>
      <x:c r="G21" s="22" t="str">
        <x:v>TC-018</x:v>
      </x:c>
      <x:c r="H21" s="22" t="str">
        <x:v>Already full slot</x:v>
      </x:c>
      <x:c r="I21" s="22" t="str">
        <x:v>M-02 Booking Activity</x:v>
      </x:c>
      <x:c r="J21" s="22" t="str">
        <x:v>09_Data_Driven_Testing/input/test_cases_input.json</x:v>
      </x:c>
      <x:c r="K21" s="22" t="str">
        <x:v>09_Data_Driven_Testing/input/test_cases_input.csv</x:v>
      </x:c>
      <x:c r="L21" s="22" t="str">
        <x:v>PASS - prototype JSON+CSV</x:v>
      </x:c>
      <x:c r="M21" s="22" t="str">
        <x:v>09_Data_Driven_Testing/results/json_all_comparison.csv</x:v>
      </x:c>
      <x:c r="N21" s="22" t="str">
        <x:v>NOT VERIFIED</x:v>
      </x:c>
    </x:row>
    <x:row r="22" ht="30" customHeight="1">
      <x:c r="A22" s="22" t="str">
        <x:v>SC-17</x:v>
      </x:c>
      <x:c r="B22" s="22" t="str">
        <x:v>FR-5.1.1</x:v>
      </x:c>
      <x:c r="C22" s="22" t="str">
        <x:v>BR-10</x:v>
      </x:c>
      <x:c r="D22" s="22" t="str">
        <x:v>UC-05</x:v>
      </x:c>
      <x:c r="E22" s="22" t="str">
        <x:v>NFR-3.1</x:v>
      </x:c>
      <x:c r="F22" s="22" t="str">
        <x:v>HZ-02</x:v>
      </x:c>
      <x:c r="G22" s="22" t="str">
        <x:v>TC-019</x:v>
      </x:c>
      <x:c r="H22" s="22" t="str">
        <x:v>List own appointments</x:v>
      </x:c>
      <x:c r="I22" s="22" t="str">
        <x:v>M-01 System Use Case Diagram</x:v>
      </x:c>
      <x:c r="J22" s="22" t="str">
        <x:v>09_Data_Driven_Testing/input/test_cases_input.json</x:v>
      </x:c>
      <x:c r="K22" s="22" t="str">
        <x:v>09_Data_Driven_Testing/input/test_cases_input.csv</x:v>
      </x:c>
      <x:c r="L22" s="22" t="str">
        <x:v>PASS - prototype JSON+CSV</x:v>
      </x:c>
      <x:c r="M22" s="22" t="str">
        <x:v>09_Data_Driven_Testing/results/json_all_comparison.csv</x:v>
      </x:c>
      <x:c r="N22" s="22" t="str">
        <x:v>NOT VERIFIED</x:v>
      </x:c>
    </x:row>
    <x:row r="23" ht="30" customHeight="1">
      <x:c r="A23" s="22" t="str">
        <x:v>SC-13</x:v>
      </x:c>
      <x:c r="B23" s="22" t="str">
        <x:v>FR-5.1.1</x:v>
      </x:c>
      <x:c r="C23" s="22" t="str">
        <x:v>BR-10</x:v>
      </x:c>
      <x:c r="D23" s="22" t="str">
        <x:v>UC-05</x:v>
      </x:c>
      <x:c r="E23" s="22" t="str">
        <x:v>NFR-3.1; NFR-3.2</x:v>
      </x:c>
      <x:c r="F23" s="22" t="str">
        <x:v>HZ-02</x:v>
      </x:c>
      <x:c r="G23" s="22" t="str">
        <x:v>TC-020</x:v>
      </x:c>
      <x:c r="H23" s="22" t="str">
        <x:v>Read another patient’s appointment</x:v>
      </x:c>
      <x:c r="I23" s="22" t="str">
        <x:v>M-06 DFD Context</x:v>
      </x:c>
      <x:c r="J23" s="22" t="str">
        <x:v>09_Data_Driven_Testing/input/test_cases_input.json</x:v>
      </x:c>
      <x:c r="K23" s="22" t="str">
        <x:v>09_Data_Driven_Testing/input/test_cases_input.csv</x:v>
      </x:c>
      <x:c r="L23" s="22" t="str">
        <x:v>PASS - prototype JSON+CSV</x:v>
      </x:c>
      <x:c r="M23" s="22" t="str">
        <x:v>09_Data_Driven_Testing/results/json_all_comparison.csv</x:v>
      </x:c>
      <x:c r="N23" s="22" t="str">
        <x:v>NOT VERIFIED</x:v>
      </x:c>
    </x:row>
    <x:row r="24" ht="30" customHeight="1">
      <x:c r="A24" s="22" t="str">
        <x:v>SC-17</x:v>
      </x:c>
      <x:c r="B24" s="22" t="str">
        <x:v>FR-5.1.2</x:v>
      </x:c>
      <x:c r="C24" s="22" t="str">
        <x:v>BR-10</x:v>
      </x:c>
      <x:c r="D24" s="22" t="str">
        <x:v>UC-05</x:v>
      </x:c>
      <x:c r="E24" s="22" t="str">
        <x:v>NFR-3.1</x:v>
      </x:c>
      <x:c r="F24" s="22" t="str">
        <x:v>HZ-02</x:v>
      </x:c>
      <x:c r="G24" s="22" t="str">
        <x:v>TC-021</x:v>
      </x:c>
      <x:c r="H24" s="22" t="str">
        <x:v>View booking details</x:v>
      </x:c>
      <x:c r="I24" s="22" t="str">
        <x:v>M-01 System Use Case Diagram</x:v>
      </x:c>
      <x:c r="J24" s="22" t="str">
        <x:v>09_Data_Driven_Testing/input/test_cases_input.json</x:v>
      </x:c>
      <x:c r="K24" s="22" t="str">
        <x:v>09_Data_Driven_Testing/input/test_cases_input.csv</x:v>
      </x:c>
      <x:c r="L24" s="22" t="str">
        <x:v>PASS - prototype JSON+CSV</x:v>
      </x:c>
      <x:c r="M24" s="22" t="str">
        <x:v>09_Data_Driven_Testing/results/json_all_comparison.csv</x:v>
      </x:c>
      <x:c r="N24" s="22" t="str">
        <x:v>NOT VERIFIED</x:v>
      </x:c>
    </x:row>
    <x:row r="25" ht="30" customHeight="1">
      <x:c r="A25" s="22" t="str">
        <x:v>SC-04</x:v>
      </x:c>
      <x:c r="B25" s="22" t="str">
        <x:v>FR-6.1.1</x:v>
      </x:c>
      <x:c r="C25" s="22" t="str">
        <x:v>BR-04</x:v>
      </x:c>
      <x:c r="D25" s="22" t="str">
        <x:v>UC-06</x:v>
      </x:c>
      <x:c r="E25" s="22" t="str">
        <x:v>NFR-6.1</x:v>
      </x:c>
      <x:c r="F25" s="22" t="str">
        <x:v>—</x:v>
      </x:c>
      <x:c r="G25" s="22" t="str">
        <x:v>TC-022</x:v>
      </x:c>
      <x:c r="H25" s="22" t="str">
        <x:v>Cancel more than 24 hours early</x:v>
      </x:c>
      <x:c r="I25" s="22" t="str">
        <x:v>M-05 Appointment State Machine</x:v>
      </x:c>
      <x:c r="J25" s="22" t="str">
        <x:v>09_Data_Driven_Testing/input/test_cases_input.json</x:v>
      </x:c>
      <x:c r="K25" s="22" t="str">
        <x:v>09_Data_Driven_Testing/input/test_cases_input.csv</x:v>
      </x:c>
      <x:c r="L25" s="22" t="str">
        <x:v>PASS - prototype JSON+CSV</x:v>
      </x:c>
      <x:c r="M25" s="22" t="str">
        <x:v>09_Data_Driven_Testing/results/json_all_comparison.csv</x:v>
      </x:c>
      <x:c r="N25" s="22" t="str">
        <x:v>NOT VERIFIED</x:v>
      </x:c>
    </x:row>
    <x:row r="26" ht="30" customHeight="1">
      <x:c r="A26" s="22" t="str">
        <x:v>SC-04</x:v>
      </x:c>
      <x:c r="B26" s="22" t="str">
        <x:v>FR-6.1.1</x:v>
      </x:c>
      <x:c r="C26" s="22" t="str">
        <x:v>BR-04</x:v>
      </x:c>
      <x:c r="D26" s="22" t="str">
        <x:v>UC-06</x:v>
      </x:c>
      <x:c r="E26" s="22" t="str">
        <x:v>NFR-6.1</x:v>
      </x:c>
      <x:c r="F26" s="22" t="str">
        <x:v>—</x:v>
      </x:c>
      <x:c r="G26" s="22" t="str">
        <x:v>TC-023</x:v>
      </x:c>
      <x:c r="H26" s="22" t="str">
        <x:v>Cancel exactly 12 hours early</x:v>
      </x:c>
      <x:c r="I26" s="22" t="str">
        <x:v>M-05 Appointment State Machine</x:v>
      </x:c>
      <x:c r="J26" s="22" t="str">
        <x:v>09_Data_Driven_Testing/input/test_cases_input.json</x:v>
      </x:c>
      <x:c r="K26" s="22" t="str">
        <x:v>09_Data_Driven_Testing/input/test_cases_input.csv</x:v>
      </x:c>
      <x:c r="L26" s="22" t="str">
        <x:v>PASS - prototype JSON+CSV</x:v>
      </x:c>
      <x:c r="M26" s="22" t="str">
        <x:v>09_Data_Driven_Testing/results/json_all_comparison.csv</x:v>
      </x:c>
      <x:c r="N26" s="22" t="str">
        <x:v>NOT VERIFIED</x:v>
      </x:c>
    </x:row>
    <x:row r="27" ht="30" customHeight="1">
      <x:c r="A27" s="22" t="str">
        <x:v>SC-05</x:v>
      </x:c>
      <x:c r="B27" s="22" t="str">
        <x:v>FR-6.1.2</x:v>
      </x:c>
      <x:c r="C27" s="22" t="str">
        <x:v>BR-04</x:v>
      </x:c>
      <x:c r="D27" s="22" t="str">
        <x:v>UC-06</x:v>
      </x:c>
      <x:c r="E27" s="22" t="str">
        <x:v>NFR-3.1</x:v>
      </x:c>
      <x:c r="F27" s="22" t="str">
        <x:v>—</x:v>
      </x:c>
      <x:c r="G27" s="22" t="str">
        <x:v>TC-024</x:v>
      </x:c>
      <x:c r="H27" s="22" t="str">
        <x:v>Cancel only 3 hours early</x:v>
      </x:c>
      <x:c r="I27" s="22" t="str">
        <x:v>M-05 Appointment State Machine</x:v>
      </x:c>
      <x:c r="J27" s="22" t="str">
        <x:v>09_Data_Driven_Testing/input/test_cases_input.json</x:v>
      </x:c>
      <x:c r="K27" s="22" t="str">
        <x:v>09_Data_Driven_Testing/input/test_cases_input.csv</x:v>
      </x:c>
      <x:c r="L27" s="22" t="str">
        <x:v>PASS - prototype JSON+CSV</x:v>
      </x:c>
      <x:c r="M27" s="22" t="str">
        <x:v>09_Data_Driven_Testing/results/json_all_comparison.csv</x:v>
      </x:c>
      <x:c r="N27" s="22" t="str">
        <x:v>NOT VERIFIED</x:v>
      </x:c>
    </x:row>
    <x:row r="28" ht="30" customHeight="1">
      <x:c r="A28" s="22" t="str">
        <x:v>SC-13</x:v>
      </x:c>
      <x:c r="B28" s="22" t="str">
        <x:v>FR-6.1.2</x:v>
      </x:c>
      <x:c r="C28" s="22" t="str">
        <x:v>BR-04</x:v>
      </x:c>
      <x:c r="D28" s="22" t="str">
        <x:v>UC-06</x:v>
      </x:c>
      <x:c r="E28" s="22" t="str">
        <x:v>NFR-3.1; NFR-3.2</x:v>
      </x:c>
      <x:c r="F28" s="22" t="str">
        <x:v>HZ-02</x:v>
      </x:c>
      <x:c r="G28" s="22" t="str">
        <x:v>TC-025</x:v>
      </x:c>
      <x:c r="H28" s="22" t="str">
        <x:v>Unauthorized cancellation by another patient</x:v>
      </x:c>
      <x:c r="I28" s="22" t="str">
        <x:v>M-06 DFD Context</x:v>
      </x:c>
      <x:c r="J28" s="22" t="str">
        <x:v>09_Data_Driven_Testing/input/test_cases_input.json</x:v>
      </x:c>
      <x:c r="K28" s="22" t="str">
        <x:v>09_Data_Driven_Testing/input/test_cases_input.csv</x:v>
      </x:c>
      <x:c r="L28" s="22" t="str">
        <x:v>PASS - prototype JSON+CSV</x:v>
      </x:c>
      <x:c r="M28" s="22" t="str">
        <x:v>09_Data_Driven_Testing/results/json_all_comparison.csv</x:v>
      </x:c>
      <x:c r="N28" s="22" t="str">
        <x:v>NOT VERIFIED</x:v>
      </x:c>
    </x:row>
    <x:row r="29" ht="30" customHeight="1">
      <x:c r="A29" s="22" t="str">
        <x:v>SC-04</x:v>
      </x:c>
      <x:c r="B29" s="22" t="str">
        <x:v>FR-6.1.1</x:v>
      </x:c>
      <x:c r="C29" s="22" t="str">
        <x:v>BR-04</x:v>
      </x:c>
      <x:c r="D29" s="22" t="str">
        <x:v>UC-06</x:v>
      </x:c>
      <x:c r="E29" s="22" t="str">
        <x:v>NFR-6.1</x:v>
      </x:c>
      <x:c r="F29" s="22" t="str">
        <x:v>—</x:v>
      </x:c>
      <x:c r="G29" s="22" t="str">
        <x:v>TC-026</x:v>
      </x:c>
      <x:c r="H29" s="22" t="str">
        <x:v>Repeat cancellation</x:v>
      </x:c>
      <x:c r="I29" s="22" t="str">
        <x:v>M-05 Appointment State Machine</x:v>
      </x:c>
      <x:c r="J29" s="22" t="str">
        <x:v>09_Data_Driven_Testing/input/test_cases_input.json</x:v>
      </x:c>
      <x:c r="K29" s="22" t="str">
        <x:v>09_Data_Driven_Testing/input/test_cases_input.csv</x:v>
      </x:c>
      <x:c r="L29" s="22" t="str">
        <x:v>PASS - prototype JSON+CSV</x:v>
      </x:c>
      <x:c r="M29" s="22" t="str">
        <x:v>09_Data_Driven_Testing/results/json_all_comparison.csv</x:v>
      </x:c>
      <x:c r="N29" s="22" t="str">
        <x:v>NOT VERIFIED</x:v>
      </x:c>
    </x:row>
    <x:row r="30" ht="30" customHeight="1">
      <x:c r="A30" s="22" t="str">
        <x:v>SC-06</x:v>
      </x:c>
      <x:c r="B30" s="22" t="str">
        <x:v>FR-7.1.1</x:v>
      </x:c>
      <x:c r="C30" s="22" t="str">
        <x:v>BR-05</x:v>
      </x:c>
      <x:c r="D30" s="22" t="str">
        <x:v>UC-07</x:v>
      </x:c>
      <x:c r="E30" s="22" t="str">
        <x:v>NFR-2.2; NFR-6.1</x:v>
      </x:c>
      <x:c r="F30" s="22" t="str">
        <x:v>HZ-05</x:v>
      </x:c>
      <x:c r="G30" s="22" t="str">
        <x:v>TC-027</x:v>
      </x:c>
      <x:c r="H30" s="22" t="str">
        <x:v>Reschedule with at least 12 hours left</x:v>
      </x:c>
      <x:c r="I30" s="22" t="str">
        <x:v>M-03 Reschedule Activity</x:v>
      </x:c>
      <x:c r="J30" s="22" t="str">
        <x:v>09_Data_Driven_Testing/input/test_cases_input.json</x:v>
      </x:c>
      <x:c r="K30" s="22" t="str">
        <x:v>09_Data_Driven_Testing/input/test_cases_input.csv</x:v>
      </x:c>
      <x:c r="L30" s="22" t="str">
        <x:v>PASS - prototype JSON+CSV</x:v>
      </x:c>
      <x:c r="M30" s="22" t="str">
        <x:v>09_Data_Driven_Testing/results/json_all_comparison.csv</x:v>
      </x:c>
      <x:c r="N30" s="22" t="str">
        <x:v>NOT VERIFIED</x:v>
      </x:c>
    </x:row>
    <x:row r="31" ht="30" customHeight="1">
      <x:c r="A31" s="22" t="str">
        <x:v>SC-07</x:v>
      </x:c>
      <x:c r="B31" s="22" t="str">
        <x:v>FR-7.1.2</x:v>
      </x:c>
      <x:c r="C31" s="22" t="str">
        <x:v>BR-05</x:v>
      </x:c>
      <x:c r="D31" s="22" t="str">
        <x:v>UC-07</x:v>
      </x:c>
      <x:c r="E31" s="22" t="str">
        <x:v>NFR-2.2</x:v>
      </x:c>
      <x:c r="F31" s="22" t="str">
        <x:v>HZ-05</x:v>
      </x:c>
      <x:c r="G31" s="22" t="str">
        <x:v>TC-028</x:v>
      </x:c>
      <x:c r="H31" s="22" t="str">
        <x:v>Reschedule with only 2 hours left</x:v>
      </x:c>
      <x:c r="I31" s="22" t="str">
        <x:v>M-03 Reschedule Activity</x:v>
      </x:c>
      <x:c r="J31" s="22" t="str">
        <x:v>09_Data_Driven_Testing/input/test_cases_input.json</x:v>
      </x:c>
      <x:c r="K31" s="22" t="str">
        <x:v>09_Data_Driven_Testing/input/test_cases_input.csv</x:v>
      </x:c>
      <x:c r="L31" s="22" t="str">
        <x:v>PASS - prototype JSON+CSV</x:v>
      </x:c>
      <x:c r="M31" s="22" t="str">
        <x:v>09_Data_Driven_Testing/results/json_all_comparison.csv</x:v>
      </x:c>
      <x:c r="N31" s="22" t="str">
        <x:v>NOT VERIFIED</x:v>
      </x:c>
    </x:row>
    <x:row r="32" ht="30" customHeight="1">
      <x:c r="A32" s="22" t="str">
        <x:v>SC-07</x:v>
      </x:c>
      <x:c r="B32" s="22" t="str">
        <x:v>FR-7.1.2</x:v>
      </x:c>
      <x:c r="C32" s="22" t="str">
        <x:v>BR-05</x:v>
      </x:c>
      <x:c r="D32" s="22" t="str">
        <x:v>UC-07</x:v>
      </x:c>
      <x:c r="E32" s="22" t="str">
        <x:v>NFR-2.2</x:v>
      </x:c>
      <x:c r="F32" s="22" t="str">
        <x:v>HZ-05</x:v>
      </x:c>
      <x:c r="G32" s="22" t="str">
        <x:v>TC-029</x:v>
      </x:c>
      <x:c r="H32" s="22" t="str">
        <x:v>Reschedule to a full slot</x:v>
      </x:c>
      <x:c r="I32" s="22" t="str">
        <x:v>M-03 Reschedule Activity</x:v>
      </x:c>
      <x:c r="J32" s="22" t="str">
        <x:v>09_Data_Driven_Testing/input/test_cases_input.json</x:v>
      </x:c>
      <x:c r="K32" s="22" t="str">
        <x:v>09_Data_Driven_Testing/input/test_cases_input.csv</x:v>
      </x:c>
      <x:c r="L32" s="22" t="str">
        <x:v>PASS - prototype JSON+CSV</x:v>
      </x:c>
      <x:c r="M32" s="22" t="str">
        <x:v>09_Data_Driven_Testing/results/json_all_comparison.csv</x:v>
      </x:c>
      <x:c r="N32" s="22" t="str">
        <x:v>NOT VERIFIED</x:v>
      </x:c>
    </x:row>
    <x:row r="33" ht="30" customHeight="1">
      <x:c r="A33" s="22" t="str">
        <x:v>SC-06</x:v>
      </x:c>
      <x:c r="B33" s="22" t="str">
        <x:v>FR-7.1.2</x:v>
      </x:c>
      <x:c r="C33" s="22" t="str">
        <x:v>BR-05</x:v>
      </x:c>
      <x:c r="D33" s="22" t="str">
        <x:v>UC-07</x:v>
      </x:c>
      <x:c r="E33" s="22" t="str">
        <x:v>NFR-2.2; NFR-6.1</x:v>
      </x:c>
      <x:c r="F33" s="22" t="str">
        <x:v>HZ-05</x:v>
      </x:c>
      <x:c r="G33" s="22" t="str">
        <x:v>TC-030</x:v>
      </x:c>
      <x:c r="H33" s="22" t="str">
        <x:v>Mid-transaction rescheduling failure</x:v>
      </x:c>
      <x:c r="I33" s="22" t="str">
        <x:v>M-03 Reschedule Activity</x:v>
      </x:c>
      <x:c r="J33" s="22" t="str">
        <x:v>09_Data_Driven_Testing/input/test_cases_input.json</x:v>
      </x:c>
      <x:c r="K33" s="22" t="str">
        <x:v>09_Data_Driven_Testing/input/test_cases_input.csv</x:v>
      </x:c>
      <x:c r="L33" s="22" t="str">
        <x:v>PASS - prototype JSON+CSV</x:v>
      </x:c>
      <x:c r="M33" s="22" t="str">
        <x:v>09_Data_Driven_Testing/results/json_all_comparison.csv</x:v>
      </x:c>
      <x:c r="N33" s="22" t="str">
        <x:v>NOT VERIFIED</x:v>
      </x:c>
    </x:row>
    <x:row r="34" ht="30" customHeight="1">
      <x:c r="A34" s="22" t="str">
        <x:v>SC-08</x:v>
      </x:c>
      <x:c r="B34" s="22" t="str">
        <x:v>FR-8.1.1</x:v>
      </x:c>
      <x:c r="C34" s="22" t="str">
        <x:v>BR-06</x:v>
      </x:c>
      <x:c r="D34" s="22" t="str">
        <x:v>UC-08</x:v>
      </x:c>
      <x:c r="E34" s="22" t="str">
        <x:v>NFR-3.1; NFR-6.1</x:v>
      </x:c>
      <x:c r="F34" s="22" t="str">
        <x:v>HZ-03</x:v>
      </x:c>
      <x:c r="G34" s="22" t="str">
        <x:v>TC-031</x:v>
      </x:c>
      <x:c r="H34" s="22" t="str">
        <x:v>Check in a Confirmed appointment</x:v>
      </x:c>
      <x:c r="I34" s="22" t="str">
        <x:v>M-04 Reception Check-in Activity</x:v>
      </x:c>
      <x:c r="J34" s="22" t="str">
        <x:v>09_Data_Driven_Testing/input/test_cases_input.json</x:v>
      </x:c>
      <x:c r="K34" s="22" t="str">
        <x:v>09_Data_Driven_Testing/input/test_cases_input.csv</x:v>
      </x:c>
      <x:c r="L34" s="22" t="str">
        <x:v>PASS - prototype JSON+CSV</x:v>
      </x:c>
      <x:c r="M34" s="22" t="str">
        <x:v>09_Data_Driven_Testing/results/json_all_comparison.csv</x:v>
      </x:c>
      <x:c r="N34" s="22" t="str">
        <x:v>NOT VERIFIED</x:v>
      </x:c>
    </x:row>
    <x:row r="35" ht="30" customHeight="1">
      <x:c r="A35" s="22" t="str">
        <x:v>SC-10</x:v>
      </x:c>
      <x:c r="B35" s="22" t="str">
        <x:v>FR-8.1.2</x:v>
      </x:c>
      <x:c r="C35" s="22" t="str">
        <x:v>BR-06</x:v>
      </x:c>
      <x:c r="D35" s="22" t="str">
        <x:v>UC-08</x:v>
      </x:c>
      <x:c r="E35" s="22" t="str">
        <x:v>NFR-3.1</x:v>
      </x:c>
      <x:c r="F35" s="22" t="str">
        <x:v>HZ-03</x:v>
      </x:c>
      <x:c r="G35" s="22" t="str">
        <x:v>TC-032</x:v>
      </x:c>
      <x:c r="H35" s="22" t="str">
        <x:v>Check in a Cancelled appointment</x:v>
      </x:c>
      <x:c r="I35" s="22" t="str">
        <x:v>M-04 Reception Check-in Activity</x:v>
      </x:c>
      <x:c r="J35" s="22" t="str">
        <x:v>09_Data_Driven_Testing/input/test_cases_input.json</x:v>
      </x:c>
      <x:c r="K35" s="22" t="str">
        <x:v>09_Data_Driven_Testing/input/test_cases_input.csv</x:v>
      </x:c>
      <x:c r="L35" s="22" t="str">
        <x:v>PASS - prototype JSON+CSV</x:v>
      </x:c>
      <x:c r="M35" s="22" t="str">
        <x:v>09_Data_Driven_Testing/results/json_all_comparison.csv</x:v>
      </x:c>
      <x:c r="N35" s="22" t="str">
        <x:v>NOT VERIFIED</x:v>
      </x:c>
    </x:row>
    <x:row r="36" ht="30" customHeight="1">
      <x:c r="A36" s="22" t="str">
        <x:v>SC-08</x:v>
      </x:c>
      <x:c r="B36" s="22" t="str">
        <x:v>FR-8.1.2</x:v>
      </x:c>
      <x:c r="C36" s="22" t="str">
        <x:v>BR-06</x:v>
      </x:c>
      <x:c r="D36" s="22" t="str">
        <x:v>UC-08</x:v>
      </x:c>
      <x:c r="E36" s="22" t="str">
        <x:v>NFR-3.1; NFR-6.1</x:v>
      </x:c>
      <x:c r="F36" s="22" t="str">
        <x:v>HZ-03</x:v>
      </x:c>
      <x:c r="G36" s="22" t="str">
        <x:v>TC-033</x:v>
      </x:c>
      <x:c r="H36" s="22" t="str">
        <x:v>Repeated check-in</x:v>
      </x:c>
      <x:c r="I36" s="22" t="str">
        <x:v>M-04 Reception Check-in Activity</x:v>
      </x:c>
      <x:c r="J36" s="22" t="str">
        <x:v>09_Data_Driven_Testing/input/test_cases_input.json</x:v>
      </x:c>
      <x:c r="K36" s="22" t="str">
        <x:v>09_Data_Driven_Testing/input/test_cases_input.csv</x:v>
      </x:c>
      <x:c r="L36" s="22" t="str">
        <x:v>PASS - prototype JSON+CSV</x:v>
      </x:c>
      <x:c r="M36" s="22" t="str">
        <x:v>09_Data_Driven_Testing/results/json_all_comparison.csv</x:v>
      </x:c>
      <x:c r="N36" s="22" t="str">
        <x:v>NOT VERIFIED</x:v>
      </x:c>
    </x:row>
    <x:row r="37" ht="30" customHeight="1">
      <x:c r="A37" s="22" t="str">
        <x:v>SC-08</x:v>
      </x:c>
      <x:c r="B37" s="22" t="str">
        <x:v>FR-8.1.2</x:v>
      </x:c>
      <x:c r="C37" s="22" t="str">
        <x:v>BR-06</x:v>
      </x:c>
      <x:c r="D37" s="22" t="str">
        <x:v>UC-08</x:v>
      </x:c>
      <x:c r="E37" s="22" t="str">
        <x:v>NFR-3.1; NFR-6.1</x:v>
      </x:c>
      <x:c r="F37" s="22" t="str">
        <x:v>HZ-03</x:v>
      </x:c>
      <x:c r="G37" s="22" t="str">
        <x:v>TC-034</x:v>
      </x:c>
      <x:c r="H37" s="22" t="str">
        <x:v>Unknown appointment ID</x:v>
      </x:c>
      <x:c r="I37" s="22" t="str">
        <x:v>M-04 Reception Check-in Activity</x:v>
      </x:c>
      <x:c r="J37" s="22" t="str">
        <x:v>09_Data_Driven_Testing/input/test_cases_input.json</x:v>
      </x:c>
      <x:c r="K37" s="22" t="str">
        <x:v>09_Data_Driven_Testing/input/test_cases_input.csv</x:v>
      </x:c>
      <x:c r="L37" s="22" t="str">
        <x:v>PASS - prototype JSON+CSV</x:v>
      </x:c>
      <x:c r="M37" s="22" t="str">
        <x:v>09_Data_Driven_Testing/results/json_all_comparison.csv</x:v>
      </x:c>
      <x:c r="N37" s="22" t="str">
        <x:v>NOT VERIFIED</x:v>
      </x:c>
    </x:row>
    <x:row r="38" ht="30" customHeight="1">
      <x:c r="A38" s="22" t="str">
        <x:v>SC-11</x:v>
      </x:c>
      <x:c r="B38" s="22" t="str">
        <x:v>FR-9.1.1</x:v>
      </x:c>
      <x:c r="C38" s="22" t="str">
        <x:v>BR-07</x:v>
      </x:c>
      <x:c r="D38" s="22" t="str">
        <x:v>UC-09</x:v>
      </x:c>
      <x:c r="E38" s="22" t="str">
        <x:v>NFR-3.1; NFR-6.1</x:v>
      </x:c>
      <x:c r="F38" s="22" t="str">
        <x:v>—</x:v>
      </x:c>
      <x:c r="G38" s="22" t="str">
        <x:v>TC-035</x:v>
      </x:c>
      <x:c r="H38" s="22" t="str">
        <x:v>Doctor views assigned list</x:v>
      </x:c>
      <x:c r="I38" s="22" t="str">
        <x:v>M-05 Appointment State Machine</x:v>
      </x:c>
      <x:c r="J38" s="22" t="str">
        <x:v>09_Data_Driven_Testing/input/test_cases_input.json</x:v>
      </x:c>
      <x:c r="K38" s="22" t="str">
        <x:v>09_Data_Driven_Testing/input/test_cases_input.csv</x:v>
      </x:c>
      <x:c r="L38" s="22" t="str">
        <x:v>PASS - prototype JSON+CSV</x:v>
      </x:c>
      <x:c r="M38" s="22" t="str">
        <x:v>09_Data_Driven_Testing/results/json_all_comparison.csv</x:v>
      </x:c>
      <x:c r="N38" s="22" t="str">
        <x:v>NOT VERIFIED</x:v>
      </x:c>
    </x:row>
    <x:row r="39" ht="30" customHeight="1">
      <x:c r="A39" s="22" t="str">
        <x:v>SC-11</x:v>
      </x:c>
      <x:c r="B39" s="22" t="str">
        <x:v>FR-9.1.1</x:v>
      </x:c>
      <x:c r="C39" s="22" t="str">
        <x:v>BR-07</x:v>
      </x:c>
      <x:c r="D39" s="22" t="str">
        <x:v>UC-09</x:v>
      </x:c>
      <x:c r="E39" s="22" t="str">
        <x:v>NFR-3.1; NFR-6.1</x:v>
      </x:c>
      <x:c r="F39" s="22" t="str">
        <x:v>—</x:v>
      </x:c>
      <x:c r="G39" s="22" t="str">
        <x:v>TC-036</x:v>
      </x:c>
      <x:c r="H39" s="22" t="str">
        <x:v>Doctor accesses another physician’s list</x:v>
      </x:c>
      <x:c r="I39" s="22" t="str">
        <x:v>M-05 Appointment State Machine</x:v>
      </x:c>
      <x:c r="J39" s="22" t="str">
        <x:v>09_Data_Driven_Testing/input/test_cases_input.json</x:v>
      </x:c>
      <x:c r="K39" s="22" t="str">
        <x:v>09_Data_Driven_Testing/input/test_cases_input.csv</x:v>
      </x:c>
      <x:c r="L39" s="22" t="str">
        <x:v>PASS - prototype JSON+CSV</x:v>
      </x:c>
      <x:c r="M39" s="22" t="str">
        <x:v>09_Data_Driven_Testing/results/json_all_comparison.csv</x:v>
      </x:c>
      <x:c r="N39" s="22" t="str">
        <x:v>NOT VERIFIED</x:v>
      </x:c>
    </x:row>
    <x:row r="40" ht="30" customHeight="1">
      <x:c r="A40" s="22" t="str">
        <x:v>SC-11</x:v>
      </x:c>
      <x:c r="B40" s="22" t="str">
        <x:v>FR-9.1.2</x:v>
      </x:c>
      <x:c r="C40" s="22" t="str">
        <x:v>BR-07</x:v>
      </x:c>
      <x:c r="D40" s="22" t="str">
        <x:v>UC-09</x:v>
      </x:c>
      <x:c r="E40" s="22" t="str">
        <x:v>NFR-3.1; NFR-6.1</x:v>
      </x:c>
      <x:c r="F40" s="22" t="str">
        <x:v>—</x:v>
      </x:c>
      <x:c r="G40" s="22" t="str">
        <x:v>TC-037</x:v>
      </x:c>
      <x:c r="H40" s="22" t="str">
        <x:v>Begin consultation in valid status</x:v>
      </x:c>
      <x:c r="I40" s="22" t="str">
        <x:v>M-05 Appointment State Machine</x:v>
      </x:c>
      <x:c r="J40" s="22" t="str">
        <x:v>09_Data_Driven_Testing/input/test_cases_input.json</x:v>
      </x:c>
      <x:c r="K40" s="22" t="str">
        <x:v>09_Data_Driven_Testing/input/test_cases_input.csv</x:v>
      </x:c>
      <x:c r="L40" s="22" t="str">
        <x:v>PASS - prototype JSON+CSV</x:v>
      </x:c>
      <x:c r="M40" s="22" t="str">
        <x:v>09_Data_Driven_Testing/results/json_all_comparison.csv</x:v>
      </x:c>
      <x:c r="N40" s="22" t="str">
        <x:v>NOT VERIFIED</x:v>
      </x:c>
    </x:row>
    <x:row r="41" ht="30" customHeight="1">
      <x:c r="A41" s="22" t="str">
        <x:v>SC-11</x:v>
      </x:c>
      <x:c r="B41" s="22" t="str">
        <x:v>FR-9.1.2</x:v>
      </x:c>
      <x:c r="C41" s="22" t="str">
        <x:v>BR-07</x:v>
      </x:c>
      <x:c r="D41" s="22" t="str">
        <x:v>UC-09</x:v>
      </x:c>
      <x:c r="E41" s="22" t="str">
        <x:v>NFR-3.1; NFR-6.1</x:v>
      </x:c>
      <x:c r="F41" s="22" t="str">
        <x:v>—</x:v>
      </x:c>
      <x:c r="G41" s="22" t="str">
        <x:v>TC-038</x:v>
      </x:c>
      <x:c r="H41" s="22" t="str">
        <x:v>Begin consultation before check-in</x:v>
      </x:c>
      <x:c r="I41" s="22" t="str">
        <x:v>M-05 Appointment State Machine</x:v>
      </x:c>
      <x:c r="J41" s="22" t="str">
        <x:v>09_Data_Driven_Testing/input/test_cases_input.json</x:v>
      </x:c>
      <x:c r="K41" s="22" t="str">
        <x:v>09_Data_Driven_Testing/input/test_cases_input.csv</x:v>
      </x:c>
      <x:c r="L41" s="22" t="str">
        <x:v>PASS - prototype JSON+CSV</x:v>
      </x:c>
      <x:c r="M41" s="22" t="str">
        <x:v>09_Data_Driven_Testing/results/json_all_comparison.csv</x:v>
      </x:c>
      <x:c r="N41" s="22" t="str">
        <x:v>NOT VERIFIED</x:v>
      </x:c>
    </x:row>
    <x:row r="42" ht="30" customHeight="1">
      <x:c r="A42" s="22" t="str">
        <x:v>SC-11</x:v>
      </x:c>
      <x:c r="B42" s="22" t="str">
        <x:v>FR-9.1.3</x:v>
      </x:c>
      <x:c r="C42" s="22" t="str">
        <x:v>BR-07</x:v>
      </x:c>
      <x:c r="D42" s="22" t="str">
        <x:v>UC-09</x:v>
      </x:c>
      <x:c r="E42" s="22" t="str">
        <x:v>NFR-3.1; NFR-6.1</x:v>
      </x:c>
      <x:c r="F42" s="22" t="str">
        <x:v>—</x:v>
      </x:c>
      <x:c r="G42" s="22" t="str">
        <x:v>TC-039</x:v>
      </x:c>
      <x:c r="H42" s="22" t="str">
        <x:v>Complete consultation</x:v>
      </x:c>
      <x:c r="I42" s="22" t="str">
        <x:v>M-05 Appointment State Machine</x:v>
      </x:c>
      <x:c r="J42" s="22" t="str">
        <x:v>09_Data_Driven_Testing/input/test_cases_input.json</x:v>
      </x:c>
      <x:c r="K42" s="22" t="str">
        <x:v>09_Data_Driven_Testing/input/test_cases_input.csv</x:v>
      </x:c>
      <x:c r="L42" s="22" t="str">
        <x:v>PASS - prototype JSON+CSV</x:v>
      </x:c>
      <x:c r="M42" s="22" t="str">
        <x:v>09_Data_Driven_Testing/results/json_all_comparison.csv</x:v>
      </x:c>
      <x:c r="N42" s="22" t="str">
        <x:v>NOT VERIFIED</x:v>
      </x:c>
    </x:row>
    <x:row r="43" ht="30" customHeight="1">
      <x:c r="A43" s="22" t="str">
        <x:v>SC-18</x:v>
      </x:c>
      <x:c r="B43" s="22" t="str">
        <x:v>FR-10.1.1</x:v>
      </x:c>
      <x:c r="C43" s="22" t="str">
        <x:v>BR-08</x:v>
      </x:c>
      <x:c r="D43" s="22" t="str">
        <x:v>UC-10</x:v>
      </x:c>
      <x:c r="E43" s="22" t="str">
        <x:v>NFR-6.1</x:v>
      </x:c>
      <x:c r="F43" s="22" t="str">
        <x:v>HZ-04</x:v>
      </x:c>
      <x:c r="G43" s="22" t="str">
        <x:v>TC-040</x:v>
      </x:c>
      <x:c r="H43" s="22" t="str">
        <x:v>Create an eligible slot</x:v>
      </x:c>
      <x:c r="I43" s="22" t="str">
        <x:v>M-05 Appointment State Machine</x:v>
      </x:c>
      <x:c r="J43" s="22" t="str">
        <x:v>09_Data_Driven_Testing/input/test_cases_input.json</x:v>
      </x:c>
      <x:c r="K43" s="22" t="str">
        <x:v>09_Data_Driven_Testing/input/test_cases_input.csv</x:v>
      </x:c>
      <x:c r="L43" s="22" t="str">
        <x:v>PASS - prototype JSON+CSV</x:v>
      </x:c>
      <x:c r="M43" s="22" t="str">
        <x:v>09_Data_Driven_Testing/results/json_all_comparison.csv</x:v>
      </x:c>
      <x:c r="N43" s="22" t="str">
        <x:v>NOT VERIFIED</x:v>
      </x:c>
    </x:row>
    <x:row r="44" ht="30" customHeight="1">
      <x:c r="A44" s="22" t="str">
        <x:v>SC-18</x:v>
      </x:c>
      <x:c r="B44" s="22" t="str">
        <x:v>FR-10.1.1</x:v>
      </x:c>
      <x:c r="C44" s="22" t="str">
        <x:v>BR-08</x:v>
      </x:c>
      <x:c r="D44" s="22" t="str">
        <x:v>UC-10</x:v>
      </x:c>
      <x:c r="E44" s="22" t="str">
        <x:v>NFR-6.1</x:v>
      </x:c>
      <x:c r="F44" s="22" t="str">
        <x:v>HZ-04</x:v>
      </x:c>
      <x:c r="G44" s="22" t="str">
        <x:v>TC-041</x:v>
      </x:c>
      <x:c r="H44" s="22" t="str">
        <x:v>Create overlapping doctor slot</x:v>
      </x:c>
      <x:c r="I44" s="22" t="str">
        <x:v>M-05 Appointment State Machine</x:v>
      </x:c>
      <x:c r="J44" s="22" t="str">
        <x:v>09_Data_Driven_Testing/input/test_cases_input.json</x:v>
      </x:c>
      <x:c r="K44" s="22" t="str">
        <x:v>09_Data_Driven_Testing/input/test_cases_input.csv</x:v>
      </x:c>
      <x:c r="L44" s="22" t="str">
        <x:v>PASS - prototype JSON+CSV</x:v>
      </x:c>
      <x:c r="M44" s="22" t="str">
        <x:v>09_Data_Driven_Testing/results/json_all_comparison.csv</x:v>
      </x:c>
      <x:c r="N44" s="22" t="str">
        <x:v>NOT VERIFIED</x:v>
      </x:c>
    </x:row>
    <x:row r="45" ht="30" customHeight="1">
      <x:c r="A45" s="22" t="str">
        <x:v>SC-09</x:v>
      </x:c>
      <x:c r="B45" s="22" t="str">
        <x:v>FR-10.1.2</x:v>
      </x:c>
      <x:c r="C45" s="22" t="str">
        <x:v>BR-09</x:v>
      </x:c>
      <x:c r="D45" s="22" t="str">
        <x:v>UC-10</x:v>
      </x:c>
      <x:c r="E45" s="22" t="str">
        <x:v>NFR-2.1; NFR-6.1</x:v>
      </x:c>
      <x:c r="F45" s="22" t="str">
        <x:v>HZ-04</x:v>
      </x:c>
      <x:c r="G45" s="22" t="str">
        <x:v>TC-042</x:v>
      </x:c>
      <x:c r="H45" s="22" t="str">
        <x:v>Unexpected doctor absence</x:v>
      </x:c>
      <x:c r="I45" s="22" t="str">
        <x:v>M-05 Appointment State Machine</x:v>
      </x:c>
      <x:c r="J45" s="22" t="str">
        <x:v>09_Data_Driven_Testing/input/test_cases_input.json</x:v>
      </x:c>
      <x:c r="K45" s="22" t="str">
        <x:v>09_Data_Driven_Testing/input/test_cases_input.csv</x:v>
      </x:c>
      <x:c r="L45" s="22" t="str">
        <x:v>PASS - prototype JSON+CSV</x:v>
      </x:c>
      <x:c r="M45" s="22" t="str">
        <x:v>09_Data_Driven_Testing/results/json_all_comparison.csv</x:v>
      </x:c>
      <x:c r="N45" s="22" t="str">
        <x:v>NOT VERIFIED</x:v>
      </x:c>
    </x:row>
    <x:row r="46" ht="30" customHeight="1">
      <x:c r="A46" s="22" t="str">
        <x:v>SC-18</x:v>
      </x:c>
      <x:c r="B46" s="22" t="str">
        <x:v>FR-10.1.3</x:v>
      </x:c>
      <x:c r="C46" s="22" t="str">
        <x:v>BR-11</x:v>
      </x:c>
      <x:c r="D46" s="22" t="str">
        <x:v>UC-10</x:v>
      </x:c>
      <x:c r="E46" s="22" t="str">
        <x:v>NFR-6.1</x:v>
      </x:c>
      <x:c r="F46" s="22" t="str">
        <x:v>HZ-04</x:v>
      </x:c>
      <x:c r="G46" s="22" t="str">
        <x:v>TC-043</x:v>
      </x:c>
      <x:c r="H46" s="22" t="str">
        <x:v>Audit physician schedule update</x:v>
      </x:c>
      <x:c r="I46" s="22" t="str">
        <x:v>M-05 Appointment State Machine</x:v>
      </x:c>
      <x:c r="J46" s="22" t="str">
        <x:v>09_Data_Driven_Testing/input/test_cases_input.json</x:v>
      </x:c>
      <x:c r="K46" s="22" t="str">
        <x:v>09_Data_Driven_Testing/input/test_cases_input.csv</x:v>
      </x:c>
      <x:c r="L46" s="22" t="str">
        <x:v>PASS - prototype JSON+CSV</x:v>
      </x:c>
      <x:c r="M46" s="22" t="str">
        <x:v>09_Data_Driven_Testing/results/json_all_comparison.csv</x:v>
      </x:c>
      <x:c r="N46" s="22" t="str">
        <x:v>NOT VERIFIED</x:v>
      </x:c>
    </x:row>
    <x:row r="47" ht="30" customHeight="1">
      <x:c r="A47" s="22" t="str">
        <x:v>SC-01</x:v>
      </x:c>
      <x:c r="B47" s="22" t="str">
        <x:v>FR-11.1.1</x:v>
      </x:c>
      <x:c r="C47" s="22" t="str">
        <x:v>BR-12</x:v>
      </x:c>
      <x:c r="D47" s="22" t="str">
        <x:v>UC-11</x:v>
      </x:c>
      <x:c r="E47" s="22" t="str">
        <x:v>NFR-1.1; NFR-1.2; NFR-2.1; NFR-5.1</x:v>
      </x:c>
      <x:c r="F47" s="22" t="str">
        <x:v>HZ-01</x:v>
      </x:c>
      <x:c r="G47" s="22" t="str">
        <x:v>TC-044</x:v>
      </x:c>
      <x:c r="H47" s="22" t="str">
        <x:v>Booking produces an outbox event</x:v>
      </x:c>
      <x:c r="I47" s="22" t="str">
        <x:v>M-02 Booking Activity</x:v>
      </x:c>
      <x:c r="J47" s="22" t="str">
        <x:v>09_Data_Driven_Testing/input/test_cases_input.json</x:v>
      </x:c>
      <x:c r="K47" s="22" t="str">
        <x:v>09_Data_Driven_Testing/input/test_cases_input.csv</x:v>
      </x:c>
      <x:c r="L47" s="22" t="str">
        <x:v>PASS - prototype JSON+CSV</x:v>
      </x:c>
      <x:c r="M47" s="22" t="str">
        <x:v>09_Data_Driven_Testing/results/json_all_comparison.csv</x:v>
      </x:c>
      <x:c r="N47" s="22" t="str">
        <x:v>NOT VERIFIED</x:v>
      </x:c>
    </x:row>
    <x:row r="48" ht="30" customHeight="1">
      <x:c r="A48" s="22" t="str">
        <x:v>SC-04</x:v>
      </x:c>
      <x:c r="B48" s="22" t="str">
        <x:v>FR-11.1.1</x:v>
      </x:c>
      <x:c r="C48" s="22" t="str">
        <x:v>BR-12</x:v>
      </x:c>
      <x:c r="D48" s="22" t="str">
        <x:v>UC-11</x:v>
      </x:c>
      <x:c r="E48" s="22" t="str">
        <x:v>NFR-6.1</x:v>
      </x:c>
      <x:c r="F48" s="22" t="str">
        <x:v>—</x:v>
      </x:c>
      <x:c r="G48" s="22" t="str">
        <x:v>TC-045</x:v>
      </x:c>
      <x:c r="H48" s="22" t="str">
        <x:v>Cancellation produces an outbox event</x:v>
      </x:c>
      <x:c r="I48" s="22" t="str">
        <x:v>M-05 Appointment State Machine</x:v>
      </x:c>
      <x:c r="J48" s="22" t="str">
        <x:v>09_Data_Driven_Testing/input/test_cases_input.json</x:v>
      </x:c>
      <x:c r="K48" s="22" t="str">
        <x:v>09_Data_Driven_Testing/input/test_cases_input.csv</x:v>
      </x:c>
      <x:c r="L48" s="22" t="str">
        <x:v>PASS - prototype JSON+CSV</x:v>
      </x:c>
      <x:c r="M48" s="22" t="str">
        <x:v>09_Data_Driven_Testing/results/json_all_comparison.csv</x:v>
      </x:c>
      <x:c r="N48" s="22" t="str">
        <x:v>NOT VERIFIED</x:v>
      </x:c>
    </x:row>
    <x:row r="49" ht="30" customHeight="1">
      <x:c r="A49" s="22" t="str">
        <x:v>SC-12</x:v>
      </x:c>
      <x:c r="B49" s="22" t="str">
        <x:v>FR-11.1.2</x:v>
      </x:c>
      <x:c r="C49" s="22" t="str">
        <x:v>BR-12</x:v>
      </x:c>
      <x:c r="D49" s="22" t="str">
        <x:v>UC-11</x:v>
      </x:c>
      <x:c r="E49" s="22" t="str">
        <x:v>NFR-7.1</x:v>
      </x:c>
      <x:c r="F49" s="22" t="str">
        <x:v>HZ-06</x:v>
      </x:c>
      <x:c r="G49" s="22" t="str">
        <x:v>TC-046</x:v>
      </x:c>
      <x:c r="H49" s="22" t="str">
        <x:v>Provider fails to deliver a notification</x:v>
      </x:c>
      <x:c r="I49" s="22" t="str">
        <x:v>M-07 DFD Level 1</x:v>
      </x:c>
      <x:c r="J49" s="22" t="str">
        <x:v>09_Data_Driven_Testing/input/test_cases_input.json</x:v>
      </x:c>
      <x:c r="K49" s="22" t="str">
        <x:v>09_Data_Driven_Testing/input/test_cases_input.csv</x:v>
      </x:c>
      <x:c r="L49" s="22" t="str">
        <x:v>PASS - prototype JSON+CSV</x:v>
      </x:c>
      <x:c r="M49" s="22" t="str">
        <x:v>09_Data_Driven_Testing/results/json_all_comparison.csv</x:v>
      </x:c>
      <x:c r="N49" s="22" t="str">
        <x:v>NOT VERIFIED</x:v>
      </x:c>
    </x:row>
    <x:row r="50" ht="30" customHeight="1">
      <x:c r="A50" s="22" t="str">
        <x:v>SC-12</x:v>
      </x:c>
      <x:c r="B50" s="22" t="str">
        <x:v>FR-11.1.2</x:v>
      </x:c>
      <x:c r="C50" s="22" t="str">
        <x:v>BR-12</x:v>
      </x:c>
      <x:c r="D50" s="22" t="str">
        <x:v>UC-11</x:v>
      </x:c>
      <x:c r="E50" s="22" t="str">
        <x:v>NFR-7.1</x:v>
      </x:c>
      <x:c r="F50" s="22" t="str">
        <x:v>HZ-06</x:v>
      </x:c>
      <x:c r="G50" s="22" t="str">
        <x:v>TC-047</x:v>
      </x:c>
      <x:c r="H50" s="22" t="str">
        <x:v>Provider retries an event</x:v>
      </x:c>
      <x:c r="I50" s="22" t="str">
        <x:v>M-07 DFD Level 1</x:v>
      </x:c>
      <x:c r="J50" s="22" t="str">
        <x:v>09_Data_Driven_Testing/input/test_cases_input.json</x:v>
      </x:c>
      <x:c r="K50" s="22" t="str">
        <x:v>09_Data_Driven_Testing/input/test_cases_input.csv</x:v>
      </x:c>
      <x:c r="L50" s="22" t="str">
        <x:v>PASS - prototype JSON+CSV</x:v>
      </x:c>
      <x:c r="M50" s="22" t="str">
        <x:v>09_Data_Driven_Testing/results/json_all_comparison.csv</x:v>
      </x:c>
      <x:c r="N50" s="22" t="str">
        <x:v>NOT VERIFIED</x:v>
      </x:c>
    </x:row>
    <x:row r="51" ht="30" customHeight="1">
      <x:c r="A51" s="22" t="str">
        <x:v>SC-14</x:v>
      </x:c>
      <x:c r="B51" s="22" t="str">
        <x:v>FR-12.1.1</x:v>
      </x:c>
      <x:c r="C51" s="22" t="str">
        <x:v>BR-11</x:v>
      </x:c>
      <x:c r="D51" s="22" t="str">
        <x:v>UC-12</x:v>
      </x:c>
      <x:c r="E51" s="22" t="str">
        <x:v>NFR-3.1; NFR-6.1</x:v>
      </x:c>
      <x:c r="F51" s="22" t="str">
        <x:v>HZ-02</x:v>
      </x:c>
      <x:c r="G51" s="22" t="str">
        <x:v>TC-048</x:v>
      </x:c>
      <x:c r="H51" s="22" t="str">
        <x:v>Correct appointment status summary</x:v>
      </x:c>
      <x:c r="I51" s="22" t="str">
        <x:v>M-07 DFD Level 1</x:v>
      </x:c>
      <x:c r="J51" s="22" t="str">
        <x:v>09_Data_Driven_Testing/input/test_cases_input.json</x:v>
      </x:c>
      <x:c r="K51" s="22" t="str">
        <x:v>09_Data_Driven_Testing/input/test_cases_input.csv</x:v>
      </x:c>
      <x:c r="L51" s="22" t="str">
        <x:v>PASS - prototype JSON+CSV</x:v>
      </x:c>
      <x:c r="M51" s="22" t="str">
        <x:v>09_Data_Driven_Testing/results/json_all_comparison.csv</x:v>
      </x:c>
      <x:c r="N51" s="22" t="str">
        <x:v>NOT VERIFIED</x:v>
      </x:c>
    </x:row>
    <x:row r="52" ht="30" customHeight="1">
      <x:c r="A52" s="22" t="str">
        <x:v>SC-14</x:v>
      </x:c>
      <x:c r="B52" s="22" t="str">
        <x:v>FR-12.1.2</x:v>
      </x:c>
      <x:c r="C52" s="22" t="str">
        <x:v>BR-11</x:v>
      </x:c>
      <x:c r="D52" s="22" t="str">
        <x:v>UC-12</x:v>
      </x:c>
      <x:c r="E52" s="22" t="str">
        <x:v>NFR-3.1; NFR-6.1</x:v>
      </x:c>
      <x:c r="F52" s="22" t="str">
        <x:v>HZ-02</x:v>
      </x:c>
      <x:c r="G52" s="22" t="str">
        <x:v>TC-049</x:v>
      </x:c>
      <x:c r="H52" s="22" t="str">
        <x:v>Audit fields are present</x:v>
      </x:c>
      <x:c r="I52" s="22" t="str">
        <x:v>M-07 DFD Level 1</x:v>
      </x:c>
      <x:c r="J52" s="22" t="str">
        <x:v>09_Data_Driven_Testing/input/test_cases_input.json</x:v>
      </x:c>
      <x:c r="K52" s="22" t="str">
        <x:v>09_Data_Driven_Testing/input/test_cases_input.csv</x:v>
      </x:c>
      <x:c r="L52" s="22" t="str">
        <x:v>PASS - prototype JSON+CSV</x:v>
      </x:c>
      <x:c r="M52" s="22" t="str">
        <x:v>09_Data_Driven_Testing/results/json_all_comparison.csv</x:v>
      </x:c>
      <x:c r="N52" s="22" t="str">
        <x:v>NOT VERIFIED</x:v>
      </x:c>
    </x:row>
    <x:row r="53" ht="30" customHeight="1">
      <x:c r="A53" s="22" t="str">
        <x:v>SC-13</x:v>
      </x:c>
      <x:c r="B53" s="22" t="str">
        <x:v>FR-12.1.3</x:v>
      </x:c>
      <x:c r="C53" s="22" t="str">
        <x:v>BR-10</x:v>
      </x:c>
      <x:c r="D53" s="22" t="str">
        <x:v>UC-12</x:v>
      </x:c>
      <x:c r="E53" s="22" t="str">
        <x:v>NFR-3.1; NFR-3.2</x:v>
      </x:c>
      <x:c r="F53" s="22" t="str">
        <x:v>HZ-02</x:v>
      </x:c>
      <x:c r="G53" s="22" t="str">
        <x:v>TC-050</x:v>
      </x:c>
      <x:c r="H53" s="22" t="str">
        <x:v>Patient requests an administrative report</x:v>
      </x:c>
      <x:c r="I53" s="22" t="str">
        <x:v>M-06 DFD Context</x:v>
      </x:c>
      <x:c r="J53" s="22" t="str">
        <x:v>09_Data_Driven_Testing/input/test_cases_input.json</x:v>
      </x:c>
      <x:c r="K53" s="22" t="str">
        <x:v>09_Data_Driven_Testing/input/test_cases_input.csv</x:v>
      </x:c>
      <x:c r="L53" s="22" t="str">
        <x:v>PASS - prototype JSON+CSV</x:v>
      </x:c>
      <x:c r="M53" s="22" t="str">
        <x:v>09_Data_Driven_Testing/results/json_all_comparison.csv</x:v>
      </x:c>
      <x:c r="N53" s="22" t="str">
        <x:v>NOT VERIFIED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5" customHeight="1">
      <x:c r="A1" s="4" t="str">
        <x:v>HOAS | 32_BR_Derivation</x:v>
      </x:c>
      <x:c r="B1" s="4"/>
      <x:c r="C1" s="4"/>
      <x:c r="D1" s="4"/>
      <x:c r="E1" s="4"/>
      <x:c r="F1" s="4"/>
      <x:c r="G1" s="4"/>
    </x:row>
    <x:row r="2" ht="30" customHeight="1">
      <x:c r="A2" s="10" t="str">
        <x:v>Business policy is a source/control for FR; 12 BR with affected UC and designed tests</x:v>
      </x:c>
      <x:c r="B2" s="10"/>
      <x:c r="C2" s="10"/>
      <x:c r="D2" s="10"/>
      <x:c r="E2" s="10"/>
      <x:c r="F2" s="10"/>
      <x:c r="G2" s="10"/>
    </x:row>
    <x:row r="3" ht="38" customHeight="1">
      <x:c r="A3" s="27" t="str">
        <x:v>BR ID</x:v>
      </x:c>
      <x:c r="B3" s="27" t="str">
        <x:v>Policy text</x:v>
      </x:c>
      <x:c r="C3" s="27" t="str">
        <x:v>Scenarios</x:v>
      </x:c>
      <x:c r="D3" s="27" t="str">
        <x:v>Direct FR IDs</x:v>
      </x:c>
      <x:c r="E3" s="27" t="str">
        <x:v>UC IDs</x:v>
      </x:c>
      <x:c r="F3" s="27" t="str">
        <x:v>TC IDs (direct FR)</x:v>
      </x:c>
      <x:c r="G3" s="27" t="str">
        <x:v>Approval status</x:v>
      </x:c>
    </x:row>
    <x:row r="4" ht="30" customHeight="1">
      <x:c r="A4" s="22" t="str">
        <x:v>BR-01</x:v>
      </x:c>
      <x:c r="B4" s="22" t="str">
        <x:v>Contact identifiers must be unique and every authenticated session has an assigned role.</x:v>
      </x:c>
      <x:c r="C4" s="22" t="str">
        <x:v>SC-15; SC-16</x:v>
      </x:c>
      <x:c r="D4" s="22" t="str">
        <x:v>FR-1.1.1; FR-1.1.2; FR-1.1.3</x:v>
      </x:c>
      <x:c r="E4" s="22" t="str">
        <x:v>UC-01</x:v>
      </x:c>
      <x:c r="F4" s="22" t="str">
        <x:v>TC-001; TC-002; TC-003; TC-004; TC-005</x:v>
      </x:c>
      <x:c r="G4" s="22" t="str">
        <x:v>Proposed; pending real hospital sign-off</x:v>
      </x:c>
    </x:row>
    <x:row r="5" ht="30" customHeight="1">
      <x:c r="A5" s="22" t="str">
        <x:v>BR-02</x:v>
      </x:c>
      <x:c r="B5" s="22" t="str">
        <x:v>A slot is eligible only if it is in the future, active and has booking_count below capacity.</x:v>
      </x:c>
      <x:c r="C5" s="22" t="str">
        <x:v>SC-01; SC-03</x:v>
      </x:c>
      <x:c r="D5" s="22" t="str">
        <x:v>FR-3.1.1; FR-3.1.2; FR-3.1.3; FR-4.1.2; FR-4.1.3</x:v>
      </x:c>
      <x:c r="E5" s="22" t="str">
        <x:v>UC-03; UC-04</x:v>
      </x:c>
      <x:c r="F5" s="22" t="str">
        <x:v>TC-009; TC-010; TC-011; TC-012; TC-015; TC-016; TC-017; TC-018</x:v>
      </x:c>
      <x:c r="G5" s="22" t="str">
        <x:v>Proposed; pending real hospital sign-off</x:v>
      </x:c>
    </x:row>
    <x:row r="6" ht="30" customHeight="1">
      <x:c r="A6" s="22" t="str">
        <x:v>BR-03</x:v>
      </x:c>
      <x:c r="B6" s="22" t="str">
        <x:v>A Confirmed appointment can be created only after a final capacity check at commit time.</x:v>
      </x:c>
      <x:c r="C6" s="22" t="str">
        <x:v>SC-01; SC-02; SC-03</x:v>
      </x:c>
      <x:c r="D6" s="22" t="str">
        <x:v>FR-4.1.1</x:v>
      </x:c>
      <x:c r="E6" s="22" t="str">
        <x:v>UC-04</x:v>
      </x:c>
      <x:c r="F6" s="22" t="str">
        <x:v>TC-013; TC-014</x:v>
      </x:c>
      <x:c r="G6" s="22" t="str">
        <x:v>Proposed; pending real hospital sign-off</x:v>
      </x:c>
    </x:row>
    <x:row r="7" ht="30" customHeight="1">
      <x:c r="A7" s="22" t="str">
        <x:v>BR-04</x:v>
      </x:c>
      <x:c r="B7" s="22" t="str">
        <x:v>Patients may self-cancel at least 12 hours before the visit; authorized staff handle exceptions.</x:v>
      </x:c>
      <x:c r="C7" s="22" t="str">
        <x:v>SC-04; SC-05</x:v>
      </x:c>
      <x:c r="D7" s="22" t="str">
        <x:v>FR-6.1.1; FR-6.1.2</x:v>
      </x:c>
      <x:c r="E7" s="22" t="str">
        <x:v>UC-06</x:v>
      </x:c>
      <x:c r="F7" s="22" t="str">
        <x:v>TC-022; TC-023; TC-024; TC-025; TC-026</x:v>
      </x:c>
      <x:c r="G7" s="22" t="str">
        <x:v>Proposed; pending real hospital sign-off</x:v>
      </x:c>
    </x:row>
    <x:row r="8" ht="30" customHeight="1">
      <x:c r="A8" s="22" t="str">
        <x:v>BR-05</x:v>
      </x:c>
      <x:c r="B8" s="22" t="str">
        <x:v>Patients may self-reschedule at least 12 hours before the visit; both slot allocations change atomically.</x:v>
      </x:c>
      <x:c r="C8" s="22" t="str">
        <x:v>SC-06; SC-07</x:v>
      </x:c>
      <x:c r="D8" s="22" t="str">
        <x:v>FR-7.1.1; FR-7.1.2</x:v>
      </x:c>
      <x:c r="E8" s="22" t="str">
        <x:v>UC-07</x:v>
      </x:c>
      <x:c r="F8" s="22" t="str">
        <x:v>TC-027; TC-028; TC-029; TC-030</x:v>
      </x:c>
      <x:c r="G8" s="22" t="str">
        <x:v>Proposed; pending real hospital sign-off</x:v>
      </x:c>
    </x:row>
    <x:row r="9" ht="30" customHeight="1">
      <x:c r="A9" s="22" t="str">
        <x:v>BR-06</x:v>
      </x:c>
      <x:c r="B9" s="22" t="str">
        <x:v>Only a Confirmed appointment may be checked in, and only once.</x:v>
      </x:c>
      <x:c r="C9" s="22" t="str">
        <x:v>SC-08; SC-10</x:v>
      </x:c>
      <x:c r="D9" s="22" t="str">
        <x:v>FR-8.1.1; FR-8.1.2</x:v>
      </x:c>
      <x:c r="E9" s="22" t="str">
        <x:v>UC-08</x:v>
      </x:c>
      <x:c r="F9" s="22" t="str">
        <x:v>TC-031; TC-032; TC-033; TC-034</x:v>
      </x:c>
      <x:c r="G9" s="22" t="str">
        <x:v>Proposed; pending real hospital sign-off</x:v>
      </x:c>
    </x:row>
    <x:row r="10" ht="30" customHeight="1">
      <x:c r="A10" s="22" t="str">
        <x:v>BR-07</x:v>
      </x:c>
      <x:c r="B10" s="22" t="str">
        <x:v>Doctors may view and update only visits assigned to them.</x:v>
      </x:c>
      <x:c r="C10" s="22" t="str">
        <x:v>SC-11</x:v>
      </x:c>
      <x:c r="D10" s="22" t="str">
        <x:v>FR-9.1.1; FR-9.1.2; FR-9.1.3</x:v>
      </x:c>
      <x:c r="E10" s="22" t="str">
        <x:v>UC-09</x:v>
      </x:c>
      <x:c r="F10" s="22" t="str">
        <x:v>TC-035; TC-036; TC-037; TC-038; TC-039</x:v>
      </x:c>
      <x:c r="G10" s="22" t="str">
        <x:v>Proposed; pending real hospital sign-off</x:v>
      </x:c>
    </x:row>
    <x:row r="11" ht="30" customHeight="1">
      <x:c r="A11" s="22" t="str">
        <x:v>BR-08</x:v>
      </x:c>
      <x:c r="B11" s="22" t="str">
        <x:v>Overlapping active time slots may not be configured for the same doctor.</x:v>
      </x:c>
      <x:c r="C11" s="22" t="str">
        <x:v>SC-18</x:v>
      </x:c>
      <x:c r="D11" s="22" t="str">
        <x:v>FR-10.1.1</x:v>
      </x:c>
      <x:c r="E11" s="22" t="str">
        <x:v>UC-10</x:v>
      </x:c>
      <x:c r="F11" s="22" t="str">
        <x:v>TC-040; TC-041</x:v>
      </x:c>
      <x:c r="G11" s="22" t="str">
        <x:v>Proposed; pending real hospital sign-off</x:v>
      </x:c>
    </x:row>
    <x:row r="12" ht="30" customHeight="1">
      <x:c r="A12" s="22" t="str">
        <x:v>BR-09</x:v>
      </x:c>
      <x:c r="B12" s="22" t="str">
        <x:v>An unexpected physician absence flags affected visits as Needs Rescheduling; it does not reassign another doctor automatically.</x:v>
      </x:c>
      <x:c r="C12" s="22" t="str">
        <x:v>SC-09; SC-18</x:v>
      </x:c>
      <x:c r="D12" s="22" t="str">
        <x:v>FR-10.1.2</x:v>
      </x:c>
      <x:c r="E12" s="22" t="str">
        <x:v>UC-10</x:v>
      </x:c>
      <x:c r="F12" s="22" t="str">
        <x:v>TC-042</x:v>
      </x:c>
      <x:c r="G12" s="22" t="str">
        <x:v>Proposed; pending real hospital sign-off</x:v>
      </x:c>
    </x:row>
    <x:row r="13" ht="30" customHeight="1">
      <x:c r="A13" s="22" t="str">
        <x:v>BR-10</x:v>
      </x:c>
      <x:c r="B13" s="22" t="str">
        <x:v>Private appointment information may be read only by the owner or an authorized staff member.</x:v>
      </x:c>
      <x:c r="C13" s="22" t="str">
        <x:v>SC-08; SC-13; SC-14; SC-16; SC-17</x:v>
      </x:c>
      <x:c r="D13" s="22" t="str">
        <x:v>FR-2.1.1; FR-2.1.2; FR-5.1.1; FR-5.1.2; FR-12.1.3</x:v>
      </x:c>
      <x:c r="E13" s="22" t="str">
        <x:v>UC-02; UC-05; UC-12</x:v>
      </x:c>
      <x:c r="F13" s="22" t="str">
        <x:v>TC-006; TC-007; TC-008; TC-019; TC-020; TC-021; TC-050</x:v>
      </x:c>
      <x:c r="G13" s="22" t="str">
        <x:v>Proposed; pending real hospital sign-off</x:v>
      </x:c>
    </x:row>
    <x:row r="14" ht="30" customHeight="1">
      <x:c r="A14" s="22" t="str">
        <x:v>BR-11</x:v>
      </x:c>
      <x:c r="B14" s="22" t="str">
        <x:v>Schedule and appointment state changes must be recorded in an audit log.</x:v>
      </x:c>
      <x:c r="C14" s="22" t="str">
        <x:v>SC-04; SC-06; SC-09; SC-11; SC-14; SC-18</x:v>
      </x:c>
      <x:c r="D14" s="22" t="str">
        <x:v>FR-10.1.3; FR-12.1.1; FR-12.1.2</x:v>
      </x:c>
      <x:c r="E14" s="22" t="str">
        <x:v>UC-10; UC-12</x:v>
      </x:c>
      <x:c r="F14" s="22" t="str">
        <x:v>TC-043; TC-048; TC-049</x:v>
      </x:c>
      <x:c r="G14" s="22" t="str">
        <x:v>Proposed; pending real hospital sign-off</x:v>
      </x:c>
    </x:row>
    <x:row r="15" ht="30" customHeight="1">
      <x:c r="A15" s="22" t="str">
        <x:v>BR-12</x:v>
      </x:c>
      <x:c r="B15" s="22" t="str">
        <x:v>A notification failure must not destroy a booking; every logical event has a unique event_id.</x:v>
      </x:c>
      <x:c r="C15" s="22" t="str">
        <x:v>SC-01; SC-04; SC-12</x:v>
      </x:c>
      <x:c r="D15" s="22" t="str">
        <x:v>FR-11.1.1; FR-11.1.2</x:v>
      </x:c>
      <x:c r="E15" s="22" t="str">
        <x:v>UC-11</x:v>
      </x:c>
      <x:c r="F15" s="22" t="str">
        <x:v>TC-044; TC-045; TC-046; TC-047</x:v>
      </x:c>
      <x:c r="G15" s="22" t="str">
        <x:v>Proposed; pending real hospital sign-off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5" customHeight="1">
      <x:c r="A1" s="4" t="str">
        <x:v>HOAS | 33_Data_Test_Evidence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10" t="str">
        <x:v>Reproduced: JSON 50/50 PASS; CSV 50/50 PASS. Same 50 logical cases run twice.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38" customHeight="1">
      <x:c r="A3" s="27" t="str">
        <x:v>TC ID</x:v>
      </x:c>
      <x:c r="B3" s="27" t="str">
        <x:v>SC ID</x:v>
      </x:c>
      <x:c r="C3" s="27" t="str">
        <x:v>UC ID</x:v>
      </x:c>
      <x:c r="D3" s="27" t="str">
        <x:v>FR ID</x:v>
      </x:c>
      <x:c r="E3" s="27" t="str">
        <x:v>Test name</x:v>
      </x:c>
      <x:c r="F3" s="27" t="str">
        <x:v>Input formats</x:v>
      </x:c>
      <x:c r="G3" s="27" t="str">
        <x:v>JSON / CSV</x:v>
      </x:c>
      <x:c r="H3" s="27" t="str">
        <x:v>Input file</x:v>
      </x:c>
      <x:c r="I3" s="27" t="str">
        <x:v>Actual JSON</x:v>
      </x:c>
      <x:c r="J3" s="27" t="str">
        <x:v>Comparison CSV</x:v>
      </x:c>
      <x:c r="K3" s="27" t="str">
        <x:v>Limit</x:v>
      </x:c>
    </x:row>
    <x:row r="4" ht="30" customHeight="1">
      <x:c r="A4" s="22" t="str">
        <x:v>TC-001</x:v>
      </x:c>
      <x:c r="B4" s="22" t="str">
        <x:v>SC-15</x:v>
      </x:c>
      <x:c r="C4" s="22" t="str">
        <x:v>UC-01</x:v>
      </x:c>
      <x:c r="D4" s="22" t="str">
        <x:v>FR-1.1.1</x:v>
      </x:c>
      <x:c r="E4" s="22" t="str">
        <x:v>Valid registration</x:v>
      </x:c>
      <x:c r="F4" s="22" t="str">
        <x:v>JSON + CSV</x:v>
      </x:c>
      <x:c r="G4" s="22" t="str">
        <x:v>PASS / PASS</x:v>
      </x:c>
      <x:c r="H4" s="22" t="str">
        <x:v>09_Data_Driven_Testing/input/test_cases_input.json</x:v>
      </x:c>
      <x:c r="I4" s="22" t="str">
        <x:v>09_Data_Driven_Testing/results/json_all_actual_results.json</x:v>
      </x:c>
      <x:c r="J4" s="22" t="str">
        <x:v>09_Data_Driven_Testing/results/csv_all_comparison.csv</x:v>
      </x:c>
      <x:c r="K4" s="22" t="str">
        <x:v>PROTOTYPE ONLY</x:v>
      </x:c>
    </x:row>
    <x:row r="5" ht="30" customHeight="1">
      <x:c r="A5" s="22" t="str">
        <x:v>TC-002</x:v>
      </x:c>
      <x:c r="B5" s="22" t="str">
        <x:v>SC-15</x:v>
      </x:c>
      <x:c r="C5" s="22" t="str">
        <x:v>UC-01</x:v>
      </x:c>
      <x:c r="D5" s="22" t="str">
        <x:v>FR-1.1.2</x:v>
      </x:c>
      <x:c r="E5" s="22" t="str">
        <x:v>Missing date of birth</x:v>
      </x:c>
      <x:c r="F5" s="22" t="str">
        <x:v>JSON + CSV</x:v>
      </x:c>
      <x:c r="G5" s="22" t="str">
        <x:v>PASS / PASS</x:v>
      </x:c>
      <x:c r="H5" s="22" t="str">
        <x:v>09_Data_Driven_Testing/input/test_cases_input.json</x:v>
      </x:c>
      <x:c r="I5" s="22" t="str">
        <x:v>09_Data_Driven_Testing/results/json_all_actual_results.json</x:v>
      </x:c>
      <x:c r="J5" s="22" t="str">
        <x:v>09_Data_Driven_Testing/results/csv_all_comparison.csv</x:v>
      </x:c>
      <x:c r="K5" s="22" t="str">
        <x:v>PROTOTYPE ONLY</x:v>
      </x:c>
    </x:row>
    <x:row r="6" ht="30" customHeight="1">
      <x:c r="A6" s="22" t="str">
        <x:v>TC-003</x:v>
      </x:c>
      <x:c r="B6" s="22" t="str">
        <x:v>SC-15</x:v>
      </x:c>
      <x:c r="C6" s="22" t="str">
        <x:v>UC-01</x:v>
      </x:c>
      <x:c r="D6" s="22" t="str">
        <x:v>FR-1.1.2</x:v>
      </x:c>
      <x:c r="E6" s="22" t="str">
        <x:v>Duplicate phone number</x:v>
      </x:c>
      <x:c r="F6" s="22" t="str">
        <x:v>JSON + CSV</x:v>
      </x:c>
      <x:c r="G6" s="22" t="str">
        <x:v>PASS / PASS</x:v>
      </x:c>
      <x:c r="H6" s="22" t="str">
        <x:v>09_Data_Driven_Testing/input/test_cases_input.json</x:v>
      </x:c>
      <x:c r="I6" s="22" t="str">
        <x:v>09_Data_Driven_Testing/results/json_all_actual_results.json</x:v>
      </x:c>
      <x:c r="J6" s="22" t="str">
        <x:v>09_Data_Driven_Testing/results/csv_all_comparison.csv</x:v>
      </x:c>
      <x:c r="K6" s="22" t="str">
        <x:v>PROTOTYPE ONLY</x:v>
      </x:c>
    </x:row>
    <x:row r="7" ht="30" customHeight="1">
      <x:c r="A7" s="22" t="str">
        <x:v>TC-004</x:v>
      </x:c>
      <x:c r="B7" s="22" t="str">
        <x:v>SC-15</x:v>
      </x:c>
      <x:c r="C7" s="22" t="str">
        <x:v>UC-01</x:v>
      </x:c>
      <x:c r="D7" s="22" t="str">
        <x:v>FR-1.1.3</x:v>
      </x:c>
      <x:c r="E7" s="22" t="str">
        <x:v>Valid sign-in</x:v>
      </x:c>
      <x:c r="F7" s="22" t="str">
        <x:v>JSON + CSV</x:v>
      </x:c>
      <x:c r="G7" s="22" t="str">
        <x:v>PASS / PASS</x:v>
      </x:c>
      <x:c r="H7" s="22" t="str">
        <x:v>09_Data_Driven_Testing/input/test_cases_input.json</x:v>
      </x:c>
      <x:c r="I7" s="22" t="str">
        <x:v>09_Data_Driven_Testing/results/json_all_actual_results.json</x:v>
      </x:c>
      <x:c r="J7" s="22" t="str">
        <x:v>09_Data_Driven_Testing/results/csv_all_comparison.csv</x:v>
      </x:c>
      <x:c r="K7" s="22" t="str">
        <x:v>PROTOTYPE ONLY</x:v>
      </x:c>
    </x:row>
    <x:row r="8" ht="30" customHeight="1">
      <x:c r="A8" s="22" t="str">
        <x:v>TC-005</x:v>
      </x:c>
      <x:c r="B8" s="22" t="str">
        <x:v>SC-15</x:v>
      </x:c>
      <x:c r="C8" s="22" t="str">
        <x:v>UC-01</x:v>
      </x:c>
      <x:c r="D8" s="22" t="str">
        <x:v>FR-1.1.3</x:v>
      </x:c>
      <x:c r="E8" s="22" t="str">
        <x:v>Incorrect password</x:v>
      </x:c>
      <x:c r="F8" s="22" t="str">
        <x:v>JSON + CSV</x:v>
      </x:c>
      <x:c r="G8" s="22" t="str">
        <x:v>PASS / PASS</x:v>
      </x:c>
      <x:c r="H8" s="22" t="str">
        <x:v>09_Data_Driven_Testing/input/test_cases_input.json</x:v>
      </x:c>
      <x:c r="I8" s="22" t="str">
        <x:v>09_Data_Driven_Testing/results/json_all_actual_results.json</x:v>
      </x:c>
      <x:c r="J8" s="22" t="str">
        <x:v>09_Data_Driven_Testing/results/csv_all_comparison.csv</x:v>
      </x:c>
      <x:c r="K8" s="22" t="str">
        <x:v>PROTOTYPE ONLY</x:v>
      </x:c>
    </x:row>
    <x:row r="9" ht="30" customHeight="1">
      <x:c r="A9" s="22" t="str">
        <x:v>TC-006</x:v>
      </x:c>
      <x:c r="B9" s="22" t="str">
        <x:v>SC-16</x:v>
      </x:c>
      <x:c r="C9" s="22" t="str">
        <x:v>UC-02</x:v>
      </x:c>
      <x:c r="D9" s="22" t="str">
        <x:v>FR-2.1.1</x:v>
      </x:c>
      <x:c r="E9" s="22" t="str">
        <x:v>View own profile</x:v>
      </x:c>
      <x:c r="F9" s="22" t="str">
        <x:v>JSON + CSV</x:v>
      </x:c>
      <x:c r="G9" s="22" t="str">
        <x:v>PASS / PASS</x:v>
      </x:c>
      <x:c r="H9" s="22" t="str">
        <x:v>09_Data_Driven_Testing/input/test_cases_input.json</x:v>
      </x:c>
      <x:c r="I9" s="22" t="str">
        <x:v>09_Data_Driven_Testing/results/json_all_actual_results.json</x:v>
      </x:c>
      <x:c r="J9" s="22" t="str">
        <x:v>09_Data_Driven_Testing/results/csv_all_comparison.csv</x:v>
      </x:c>
      <x:c r="K9" s="22" t="str">
        <x:v>PROTOTYPE ONLY</x:v>
      </x:c>
    </x:row>
    <x:row r="10" ht="30" customHeight="1">
      <x:c r="A10" s="22" t="str">
        <x:v>TC-007</x:v>
      </x:c>
      <x:c r="B10" s="22" t="str">
        <x:v>SC-16</x:v>
      </x:c>
      <x:c r="C10" s="22" t="str">
        <x:v>UC-02</x:v>
      </x:c>
      <x:c r="D10" s="22" t="str">
        <x:v>FR-2.1.2</x:v>
      </x:c>
      <x:c r="E10" s="22" t="str">
        <x:v>Update address</x:v>
      </x:c>
      <x:c r="F10" s="22" t="str">
        <x:v>JSON + CSV</x:v>
      </x:c>
      <x:c r="G10" s="22" t="str">
        <x:v>PASS / PASS</x:v>
      </x:c>
      <x:c r="H10" s="22" t="str">
        <x:v>09_Data_Driven_Testing/input/test_cases_input.json</x:v>
      </x:c>
      <x:c r="I10" s="22" t="str">
        <x:v>09_Data_Driven_Testing/results/json_all_actual_results.json</x:v>
      </x:c>
      <x:c r="J10" s="22" t="str">
        <x:v>09_Data_Driven_Testing/results/csv_all_comparison.csv</x:v>
      </x:c>
      <x:c r="K10" s="22" t="str">
        <x:v>PROTOTYPE ONLY</x:v>
      </x:c>
    </x:row>
    <x:row r="11" ht="30" customHeight="1">
      <x:c r="A11" s="22" t="str">
        <x:v>TC-008</x:v>
      </x:c>
      <x:c r="B11" s="22" t="str">
        <x:v>SC-16</x:v>
      </x:c>
      <x:c r="C11" s="22" t="str">
        <x:v>UC-02</x:v>
      </x:c>
      <x:c r="D11" s="22" t="str">
        <x:v>FR-2.1.2</x:v>
      </x:c>
      <x:c r="E11" s="22" t="str">
        <x:v>Invalid contact information</x:v>
      </x:c>
      <x:c r="F11" s="22" t="str">
        <x:v>JSON + CSV</x:v>
      </x:c>
      <x:c r="G11" s="22" t="str">
        <x:v>PASS / PASS</x:v>
      </x:c>
      <x:c r="H11" s="22" t="str">
        <x:v>09_Data_Driven_Testing/input/test_cases_input.json</x:v>
      </x:c>
      <x:c r="I11" s="22" t="str">
        <x:v>09_Data_Driven_Testing/results/json_all_actual_results.json</x:v>
      </x:c>
      <x:c r="J11" s="22" t="str">
        <x:v>09_Data_Driven_Testing/results/csv_all_comparison.csv</x:v>
      </x:c>
      <x:c r="K11" s="22" t="str">
        <x:v>PROTOTYPE ONLY</x:v>
      </x:c>
    </x:row>
    <x:row r="12" ht="30" customHeight="1">
      <x:c r="A12" s="22" t="str">
        <x:v>TC-009</x:v>
      </x:c>
      <x:c r="B12" s="22" t="str">
        <x:v>SC-01</x:v>
      </x:c>
      <x:c r="C12" s="22" t="str">
        <x:v>UC-03</x:v>
      </x:c>
      <x:c r="D12" s="22" t="str">
        <x:v>FR-3.1.1</x:v>
      </x:c>
      <x:c r="E12" s="22" t="str">
        <x:v>Search Gastroenterology</x:v>
      </x:c>
      <x:c r="F12" s="22" t="str">
        <x:v>JSON + CSV</x:v>
      </x:c>
      <x:c r="G12" s="22" t="str">
        <x:v>PASS / PASS</x:v>
      </x:c>
      <x:c r="H12" s="22" t="str">
        <x:v>09_Data_Driven_Testing/input/test_cases_input.json</x:v>
      </x:c>
      <x:c r="I12" s="22" t="str">
        <x:v>09_Data_Driven_Testing/results/json_all_actual_results.json</x:v>
      </x:c>
      <x:c r="J12" s="22" t="str">
        <x:v>09_Data_Driven_Testing/results/csv_all_comparison.csv</x:v>
      </x:c>
      <x:c r="K12" s="22" t="str">
        <x:v>PROTOTYPE ONLY</x:v>
      </x:c>
    </x:row>
    <x:row r="13" ht="30" customHeight="1">
      <x:c r="A13" s="22" t="str">
        <x:v>TC-010</x:v>
      </x:c>
      <x:c r="B13" s="22" t="str">
        <x:v>SC-01</x:v>
      </x:c>
      <x:c r="C13" s="22" t="str">
        <x:v>UC-03</x:v>
      </x:c>
      <x:c r="D13" s="22" t="str">
        <x:v>FR-3.1.2</x:v>
      </x:c>
      <x:c r="E13" s="22" t="str">
        <x:v>Available slot has capacity</x:v>
      </x:c>
      <x:c r="F13" s="22" t="str">
        <x:v>JSON + CSV</x:v>
      </x:c>
      <x:c r="G13" s="22" t="str">
        <x:v>PASS / PASS</x:v>
      </x:c>
      <x:c r="H13" s="22" t="str">
        <x:v>09_Data_Driven_Testing/input/test_cases_input.json</x:v>
      </x:c>
      <x:c r="I13" s="22" t="str">
        <x:v>09_Data_Driven_Testing/results/json_all_actual_results.json</x:v>
      </x:c>
      <x:c r="J13" s="22" t="str">
        <x:v>09_Data_Driven_Testing/results/csv_all_comparison.csv</x:v>
      </x:c>
      <x:c r="K13" s="22" t="str">
        <x:v>PROTOTYPE ONLY</x:v>
      </x:c>
    </x:row>
    <x:row r="14" ht="30" customHeight="1">
      <x:c r="A14" s="22" t="str">
        <x:v>TC-011</x:v>
      </x:c>
      <x:c r="B14" s="22" t="str">
        <x:v>SC-03</x:v>
      </x:c>
      <x:c r="C14" s="22" t="str">
        <x:v>UC-03</x:v>
      </x:c>
      <x:c r="D14" s="22" t="str">
        <x:v>FR-3.1.2</x:v>
      </x:c>
      <x:c r="E14" s="22" t="str">
        <x:v>Fully booked slot</x:v>
      </x:c>
      <x:c r="F14" s="22" t="str">
        <x:v>JSON + CSV</x:v>
      </x:c>
      <x:c r="G14" s="22" t="str">
        <x:v>PASS / PASS</x:v>
      </x:c>
      <x:c r="H14" s="22" t="str">
        <x:v>09_Data_Driven_Testing/input/test_cases_input.json</x:v>
      </x:c>
      <x:c r="I14" s="22" t="str">
        <x:v>09_Data_Driven_Testing/results/json_all_actual_results.json</x:v>
      </x:c>
      <x:c r="J14" s="22" t="str">
        <x:v>09_Data_Driven_Testing/results/csv_all_comparison.csv</x:v>
      </x:c>
      <x:c r="K14" s="22" t="str">
        <x:v>PROTOTYPE ONLY</x:v>
      </x:c>
    </x:row>
    <x:row r="15" ht="30" customHeight="1">
      <x:c r="A15" s="22" t="str">
        <x:v>TC-012</x:v>
      </x:c>
      <x:c r="B15" s="22" t="str">
        <x:v>SC-03</x:v>
      </x:c>
      <x:c r="C15" s="22" t="str">
        <x:v>UC-03</x:v>
      </x:c>
      <x:c r="D15" s="22" t="str">
        <x:v>FR-3.1.3</x:v>
      </x:c>
      <x:c r="E15" s="22" t="str">
        <x:v>Date with no appointments</x:v>
      </x:c>
      <x:c r="F15" s="22" t="str">
        <x:v>JSON + CSV</x:v>
      </x:c>
      <x:c r="G15" s="22" t="str">
        <x:v>PASS / PASS</x:v>
      </x:c>
      <x:c r="H15" s="22" t="str">
        <x:v>09_Data_Driven_Testing/input/test_cases_input.json</x:v>
      </x:c>
      <x:c r="I15" s="22" t="str">
        <x:v>09_Data_Driven_Testing/results/json_all_actual_results.json</x:v>
      </x:c>
      <x:c r="J15" s="22" t="str">
        <x:v>09_Data_Driven_Testing/results/csv_all_comparison.csv</x:v>
      </x:c>
      <x:c r="K15" s="22" t="str">
        <x:v>PROTOTYPE ONLY</x:v>
      </x:c>
    </x:row>
    <x:row r="16" ht="30" customHeight="1">
      <x:c r="A16" s="22" t="str">
        <x:v>TC-013</x:v>
      </x:c>
      <x:c r="B16" s="22" t="str">
        <x:v>SC-01</x:v>
      </x:c>
      <x:c r="C16" s="22" t="str">
        <x:v>UC-04</x:v>
      </x:c>
      <x:c r="D16" s="22" t="str">
        <x:v>FR-4.1.1</x:v>
      </x:c>
      <x:c r="E16" s="22" t="str">
        <x:v>Book available slot</x:v>
      </x:c>
      <x:c r="F16" s="22" t="str">
        <x:v>JSON + CSV</x:v>
      </x:c>
      <x:c r="G16" s="22" t="str">
        <x:v>PASS / PASS</x:v>
      </x:c>
      <x:c r="H16" s="22" t="str">
        <x:v>09_Data_Driven_Testing/input/test_cases_input.json</x:v>
      </x:c>
      <x:c r="I16" s="22" t="str">
        <x:v>09_Data_Driven_Testing/results/json_all_actual_results.json</x:v>
      </x:c>
      <x:c r="J16" s="22" t="str">
        <x:v>09_Data_Driven_Testing/results/csv_all_comparison.csv</x:v>
      </x:c>
      <x:c r="K16" s="22" t="str">
        <x:v>PROTOTYPE ONLY</x:v>
      </x:c>
    </x:row>
    <x:row r="17" ht="30" customHeight="1">
      <x:c r="A17" s="22" t="str">
        <x:v>TC-014</x:v>
      </x:c>
      <x:c r="B17" s="22" t="str">
        <x:v>SC-01</x:v>
      </x:c>
      <x:c r="C17" s="22" t="str">
        <x:v>UC-04</x:v>
      </x:c>
      <x:c r="D17" s="22" t="str">
        <x:v>FR-4.1.1</x:v>
      </x:c>
      <x:c r="E17" s="22" t="str">
        <x:v>Repeated appointment ID</x:v>
      </x:c>
      <x:c r="F17" s="22" t="str">
        <x:v>JSON + CSV</x:v>
      </x:c>
      <x:c r="G17" s="22" t="str">
        <x:v>PASS / PASS</x:v>
      </x:c>
      <x:c r="H17" s="22" t="str">
        <x:v>09_Data_Driven_Testing/input/test_cases_input.json</x:v>
      </x:c>
      <x:c r="I17" s="22" t="str">
        <x:v>09_Data_Driven_Testing/results/json_all_actual_results.json</x:v>
      </x:c>
      <x:c r="J17" s="22" t="str">
        <x:v>09_Data_Driven_Testing/results/csv_all_comparison.csv</x:v>
      </x:c>
      <x:c r="K17" s="22" t="str">
        <x:v>PROTOTYPE ONLY</x:v>
      </x:c>
    </x:row>
    <x:row r="18" ht="30" customHeight="1">
      <x:c r="A18" s="22" t="str">
        <x:v>TC-015</x:v>
      </x:c>
      <x:c r="B18" s="22" t="str">
        <x:v>SC-02</x:v>
      </x:c>
      <x:c r="C18" s="22" t="str">
        <x:v>UC-04</x:v>
      </x:c>
      <x:c r="D18" s="22" t="str">
        <x:v>FR-4.1.2</x:v>
      </x:c>
      <x:c r="E18" s="22" t="str">
        <x:v>Two patients competing for one place</x:v>
      </x:c>
      <x:c r="F18" s="22" t="str">
        <x:v>JSON + CSV</x:v>
      </x:c>
      <x:c r="G18" s="22" t="str">
        <x:v>PASS / PASS</x:v>
      </x:c>
      <x:c r="H18" s="22" t="str">
        <x:v>09_Data_Driven_Testing/input/test_cases_input.json</x:v>
      </x:c>
      <x:c r="I18" s="22" t="str">
        <x:v>09_Data_Driven_Testing/results/json_all_actual_results.json</x:v>
      </x:c>
      <x:c r="J18" s="22" t="str">
        <x:v>09_Data_Driven_Testing/results/csv_all_comparison.csv</x:v>
      </x:c>
      <x:c r="K18" s="22" t="str">
        <x:v>PROTOTYPE ONLY</x:v>
      </x:c>
    </x:row>
    <x:row r="19" ht="30" customHeight="1">
      <x:c r="A19" s="22" t="str">
        <x:v>TC-016</x:v>
      </x:c>
      <x:c r="B19" s="22" t="str">
        <x:v>SC-02</x:v>
      </x:c>
      <x:c r="C19" s="22" t="str">
        <x:v>UC-04</x:v>
      </x:c>
      <x:c r="D19" s="22" t="str">
        <x:v>FR-4.1.2</x:v>
      </x:c>
      <x:c r="E19" s="22" t="str">
        <x:v>One hundred threads competing for one place</x:v>
      </x:c>
      <x:c r="F19" s="22" t="str">
        <x:v>JSON + CSV</x:v>
      </x:c>
      <x:c r="G19" s="22" t="str">
        <x:v>PASS / PASS</x:v>
      </x:c>
      <x:c r="H19" s="22" t="str">
        <x:v>09_Data_Driven_Testing/input/test_cases_input.json</x:v>
      </x:c>
      <x:c r="I19" s="22" t="str">
        <x:v>09_Data_Driven_Testing/results/json_all_actual_results.json</x:v>
      </x:c>
      <x:c r="J19" s="22" t="str">
        <x:v>09_Data_Driven_Testing/results/csv_all_comparison.csv</x:v>
      </x:c>
      <x:c r="K19" s="22" t="str">
        <x:v>PROTOTYPE ONLY</x:v>
      </x:c>
    </x:row>
    <x:row r="20" ht="30" customHeight="1">
      <x:c r="A20" s="22" t="str">
        <x:v>TC-017</x:v>
      </x:c>
      <x:c r="B20" s="22" t="str">
        <x:v>SC-09</x:v>
      </x:c>
      <x:c r="C20" s="22" t="str">
        <x:v>UC-04</x:v>
      </x:c>
      <x:c r="D20" s="22" t="str">
        <x:v>FR-4.1.3</x:v>
      </x:c>
      <x:c r="E20" s="22" t="str">
        <x:v>Doctor becomes unavailable</x:v>
      </x:c>
      <x:c r="F20" s="22" t="str">
        <x:v>JSON + CSV</x:v>
      </x:c>
      <x:c r="G20" s="22" t="str">
        <x:v>PASS / PASS</x:v>
      </x:c>
      <x:c r="H20" s="22" t="str">
        <x:v>09_Data_Driven_Testing/input/test_cases_input.json</x:v>
      </x:c>
      <x:c r="I20" s="22" t="str">
        <x:v>09_Data_Driven_Testing/results/json_all_actual_results.json</x:v>
      </x:c>
      <x:c r="J20" s="22" t="str">
        <x:v>09_Data_Driven_Testing/results/csv_all_comparison.csv</x:v>
      </x:c>
      <x:c r="K20" s="22" t="str">
        <x:v>PROTOTYPE ONLY</x:v>
      </x:c>
    </x:row>
    <x:row r="21" ht="30" customHeight="1">
      <x:c r="A21" s="22" t="str">
        <x:v>TC-018</x:v>
      </x:c>
      <x:c r="B21" s="22" t="str">
        <x:v>SC-03</x:v>
      </x:c>
      <x:c r="C21" s="22" t="str">
        <x:v>UC-04</x:v>
      </x:c>
      <x:c r="D21" s="22" t="str">
        <x:v>FR-4.1.3</x:v>
      </x:c>
      <x:c r="E21" s="22" t="str">
        <x:v>Already full slot</x:v>
      </x:c>
      <x:c r="F21" s="22" t="str">
        <x:v>JSON + CSV</x:v>
      </x:c>
      <x:c r="G21" s="22" t="str">
        <x:v>PASS / PASS</x:v>
      </x:c>
      <x:c r="H21" s="22" t="str">
        <x:v>09_Data_Driven_Testing/input/test_cases_input.json</x:v>
      </x:c>
      <x:c r="I21" s="22" t="str">
        <x:v>09_Data_Driven_Testing/results/json_all_actual_results.json</x:v>
      </x:c>
      <x:c r="J21" s="22" t="str">
        <x:v>09_Data_Driven_Testing/results/csv_all_comparison.csv</x:v>
      </x:c>
      <x:c r="K21" s="22" t="str">
        <x:v>PROTOTYPE ONLY</x:v>
      </x:c>
    </x:row>
    <x:row r="22" ht="30" customHeight="1">
      <x:c r="A22" s="22" t="str">
        <x:v>TC-019</x:v>
      </x:c>
      <x:c r="B22" s="22" t="str">
        <x:v>SC-17</x:v>
      </x:c>
      <x:c r="C22" s="22" t="str">
        <x:v>UC-05</x:v>
      </x:c>
      <x:c r="D22" s="22" t="str">
        <x:v>FR-5.1.1</x:v>
      </x:c>
      <x:c r="E22" s="22" t="str">
        <x:v>List own appointments</x:v>
      </x:c>
      <x:c r="F22" s="22" t="str">
        <x:v>JSON + CSV</x:v>
      </x:c>
      <x:c r="G22" s="22" t="str">
        <x:v>PASS / PASS</x:v>
      </x:c>
      <x:c r="H22" s="22" t="str">
        <x:v>09_Data_Driven_Testing/input/test_cases_input.json</x:v>
      </x:c>
      <x:c r="I22" s="22" t="str">
        <x:v>09_Data_Driven_Testing/results/json_all_actual_results.json</x:v>
      </x:c>
      <x:c r="J22" s="22" t="str">
        <x:v>09_Data_Driven_Testing/results/csv_all_comparison.csv</x:v>
      </x:c>
      <x:c r="K22" s="22" t="str">
        <x:v>PROTOTYPE ONLY</x:v>
      </x:c>
    </x:row>
    <x:row r="23" ht="30" customHeight="1">
      <x:c r="A23" s="22" t="str">
        <x:v>TC-020</x:v>
      </x:c>
      <x:c r="B23" s="22" t="str">
        <x:v>SC-13</x:v>
      </x:c>
      <x:c r="C23" s="22" t="str">
        <x:v>UC-05</x:v>
      </x:c>
      <x:c r="D23" s="22" t="str">
        <x:v>FR-5.1.1</x:v>
      </x:c>
      <x:c r="E23" s="22" t="str">
        <x:v>Read another patient’s appointment</x:v>
      </x:c>
      <x:c r="F23" s="22" t="str">
        <x:v>JSON + CSV</x:v>
      </x:c>
      <x:c r="G23" s="22" t="str">
        <x:v>PASS / PASS</x:v>
      </x:c>
      <x:c r="H23" s="22" t="str">
        <x:v>09_Data_Driven_Testing/input/test_cases_input.json</x:v>
      </x:c>
      <x:c r="I23" s="22" t="str">
        <x:v>09_Data_Driven_Testing/results/json_all_actual_results.json</x:v>
      </x:c>
      <x:c r="J23" s="22" t="str">
        <x:v>09_Data_Driven_Testing/results/csv_all_comparison.csv</x:v>
      </x:c>
      <x:c r="K23" s="22" t="str">
        <x:v>PROTOTYPE ONLY</x:v>
      </x:c>
    </x:row>
    <x:row r="24" ht="30" customHeight="1">
      <x:c r="A24" s="22" t="str">
        <x:v>TC-021</x:v>
      </x:c>
      <x:c r="B24" s="22" t="str">
        <x:v>SC-17</x:v>
      </x:c>
      <x:c r="C24" s="22" t="str">
        <x:v>UC-05</x:v>
      </x:c>
      <x:c r="D24" s="22" t="str">
        <x:v>FR-5.1.2</x:v>
      </x:c>
      <x:c r="E24" s="22" t="str">
        <x:v>View booking details</x:v>
      </x:c>
      <x:c r="F24" s="22" t="str">
        <x:v>JSON + CSV</x:v>
      </x:c>
      <x:c r="G24" s="22" t="str">
        <x:v>PASS / PASS</x:v>
      </x:c>
      <x:c r="H24" s="22" t="str">
        <x:v>09_Data_Driven_Testing/input/test_cases_input.json</x:v>
      </x:c>
      <x:c r="I24" s="22" t="str">
        <x:v>09_Data_Driven_Testing/results/json_all_actual_results.json</x:v>
      </x:c>
      <x:c r="J24" s="22" t="str">
        <x:v>09_Data_Driven_Testing/results/csv_all_comparison.csv</x:v>
      </x:c>
      <x:c r="K24" s="22" t="str">
        <x:v>PROTOTYPE ONLY</x:v>
      </x:c>
    </x:row>
    <x:row r="25" ht="30" customHeight="1">
      <x:c r="A25" s="22" t="str">
        <x:v>TC-022</x:v>
      </x:c>
      <x:c r="B25" s="22" t="str">
        <x:v>SC-04</x:v>
      </x:c>
      <x:c r="C25" s="22" t="str">
        <x:v>UC-06</x:v>
      </x:c>
      <x:c r="D25" s="22" t="str">
        <x:v>FR-6.1.1</x:v>
      </x:c>
      <x:c r="E25" s="22" t="str">
        <x:v>Cancel more than 24 hours early</x:v>
      </x:c>
      <x:c r="F25" s="22" t="str">
        <x:v>JSON + CSV</x:v>
      </x:c>
      <x:c r="G25" s="22" t="str">
        <x:v>PASS / PASS</x:v>
      </x:c>
      <x:c r="H25" s="22" t="str">
        <x:v>09_Data_Driven_Testing/input/test_cases_input.json</x:v>
      </x:c>
      <x:c r="I25" s="22" t="str">
        <x:v>09_Data_Driven_Testing/results/json_all_actual_results.json</x:v>
      </x:c>
      <x:c r="J25" s="22" t="str">
        <x:v>09_Data_Driven_Testing/results/csv_all_comparison.csv</x:v>
      </x:c>
      <x:c r="K25" s="22" t="str">
        <x:v>PROTOTYPE ONLY</x:v>
      </x:c>
    </x:row>
    <x:row r="26" ht="30" customHeight="1">
      <x:c r="A26" s="22" t="str">
        <x:v>TC-023</x:v>
      </x:c>
      <x:c r="B26" s="22" t="str">
        <x:v>SC-04</x:v>
      </x:c>
      <x:c r="C26" s="22" t="str">
        <x:v>UC-06</x:v>
      </x:c>
      <x:c r="D26" s="22" t="str">
        <x:v>FR-6.1.1</x:v>
      </x:c>
      <x:c r="E26" s="22" t="str">
        <x:v>Cancel exactly 12 hours early</x:v>
      </x:c>
      <x:c r="F26" s="22" t="str">
        <x:v>JSON + CSV</x:v>
      </x:c>
      <x:c r="G26" s="22" t="str">
        <x:v>PASS / PASS</x:v>
      </x:c>
      <x:c r="H26" s="22" t="str">
        <x:v>09_Data_Driven_Testing/input/test_cases_input.json</x:v>
      </x:c>
      <x:c r="I26" s="22" t="str">
        <x:v>09_Data_Driven_Testing/results/json_all_actual_results.json</x:v>
      </x:c>
      <x:c r="J26" s="22" t="str">
        <x:v>09_Data_Driven_Testing/results/csv_all_comparison.csv</x:v>
      </x:c>
      <x:c r="K26" s="22" t="str">
        <x:v>PROTOTYPE ONLY</x:v>
      </x:c>
    </x:row>
    <x:row r="27" ht="30" customHeight="1">
      <x:c r="A27" s="22" t="str">
        <x:v>TC-024</x:v>
      </x:c>
      <x:c r="B27" s="22" t="str">
        <x:v>SC-05</x:v>
      </x:c>
      <x:c r="C27" s="22" t="str">
        <x:v>UC-06</x:v>
      </x:c>
      <x:c r="D27" s="22" t="str">
        <x:v>FR-6.1.2</x:v>
      </x:c>
      <x:c r="E27" s="22" t="str">
        <x:v>Cancel only 3 hours early</x:v>
      </x:c>
      <x:c r="F27" s="22" t="str">
        <x:v>JSON + CSV</x:v>
      </x:c>
      <x:c r="G27" s="22" t="str">
        <x:v>PASS / PASS</x:v>
      </x:c>
      <x:c r="H27" s="22" t="str">
        <x:v>09_Data_Driven_Testing/input/test_cases_input.json</x:v>
      </x:c>
      <x:c r="I27" s="22" t="str">
        <x:v>09_Data_Driven_Testing/results/json_all_actual_results.json</x:v>
      </x:c>
      <x:c r="J27" s="22" t="str">
        <x:v>09_Data_Driven_Testing/results/csv_all_comparison.csv</x:v>
      </x:c>
      <x:c r="K27" s="22" t="str">
        <x:v>PROTOTYPE ONLY</x:v>
      </x:c>
    </x:row>
    <x:row r="28" ht="30" customHeight="1">
      <x:c r="A28" s="22" t="str">
        <x:v>TC-025</x:v>
      </x:c>
      <x:c r="B28" s="22" t="str">
        <x:v>SC-13</x:v>
      </x:c>
      <x:c r="C28" s="22" t="str">
        <x:v>UC-06</x:v>
      </x:c>
      <x:c r="D28" s="22" t="str">
        <x:v>FR-6.1.2</x:v>
      </x:c>
      <x:c r="E28" s="22" t="str">
        <x:v>Unauthorized cancellation by another patient</x:v>
      </x:c>
      <x:c r="F28" s="22" t="str">
        <x:v>JSON + CSV</x:v>
      </x:c>
      <x:c r="G28" s="22" t="str">
        <x:v>PASS / PASS</x:v>
      </x:c>
      <x:c r="H28" s="22" t="str">
        <x:v>09_Data_Driven_Testing/input/test_cases_input.json</x:v>
      </x:c>
      <x:c r="I28" s="22" t="str">
        <x:v>09_Data_Driven_Testing/results/json_all_actual_results.json</x:v>
      </x:c>
      <x:c r="J28" s="22" t="str">
        <x:v>09_Data_Driven_Testing/results/csv_all_comparison.csv</x:v>
      </x:c>
      <x:c r="K28" s="22" t="str">
        <x:v>PROTOTYPE ONLY</x:v>
      </x:c>
    </x:row>
    <x:row r="29" ht="30" customHeight="1">
      <x:c r="A29" s="22" t="str">
        <x:v>TC-026</x:v>
      </x:c>
      <x:c r="B29" s="22" t="str">
        <x:v>SC-04</x:v>
      </x:c>
      <x:c r="C29" s="22" t="str">
        <x:v>UC-06</x:v>
      </x:c>
      <x:c r="D29" s="22" t="str">
        <x:v>FR-6.1.1</x:v>
      </x:c>
      <x:c r="E29" s="22" t="str">
        <x:v>Repeat cancellation</x:v>
      </x:c>
      <x:c r="F29" s="22" t="str">
        <x:v>JSON + CSV</x:v>
      </x:c>
      <x:c r="G29" s="22" t="str">
        <x:v>PASS / PASS</x:v>
      </x:c>
      <x:c r="H29" s="22" t="str">
        <x:v>09_Data_Driven_Testing/input/test_cases_input.json</x:v>
      </x:c>
      <x:c r="I29" s="22" t="str">
        <x:v>09_Data_Driven_Testing/results/json_all_actual_results.json</x:v>
      </x:c>
      <x:c r="J29" s="22" t="str">
        <x:v>09_Data_Driven_Testing/results/csv_all_comparison.csv</x:v>
      </x:c>
      <x:c r="K29" s="22" t="str">
        <x:v>PROTOTYPE ONLY</x:v>
      </x:c>
    </x:row>
    <x:row r="30" ht="30" customHeight="1">
      <x:c r="A30" s="22" t="str">
        <x:v>TC-027</x:v>
      </x:c>
      <x:c r="B30" s="22" t="str">
        <x:v>SC-06</x:v>
      </x:c>
      <x:c r="C30" s="22" t="str">
        <x:v>UC-07</x:v>
      </x:c>
      <x:c r="D30" s="22" t="str">
        <x:v>FR-7.1.1</x:v>
      </x:c>
      <x:c r="E30" s="22" t="str">
        <x:v>Reschedule with at least 12 hours left</x:v>
      </x:c>
      <x:c r="F30" s="22" t="str">
        <x:v>JSON + CSV</x:v>
      </x:c>
      <x:c r="G30" s="22" t="str">
        <x:v>PASS / PASS</x:v>
      </x:c>
      <x:c r="H30" s="22" t="str">
        <x:v>09_Data_Driven_Testing/input/test_cases_input.json</x:v>
      </x:c>
      <x:c r="I30" s="22" t="str">
        <x:v>09_Data_Driven_Testing/results/json_all_actual_results.json</x:v>
      </x:c>
      <x:c r="J30" s="22" t="str">
        <x:v>09_Data_Driven_Testing/results/csv_all_comparison.csv</x:v>
      </x:c>
      <x:c r="K30" s="22" t="str">
        <x:v>PROTOTYPE ONLY</x:v>
      </x:c>
    </x:row>
    <x:row r="31" ht="30" customHeight="1">
      <x:c r="A31" s="22" t="str">
        <x:v>TC-028</x:v>
      </x:c>
      <x:c r="B31" s="22" t="str">
        <x:v>SC-07</x:v>
      </x:c>
      <x:c r="C31" s="22" t="str">
        <x:v>UC-07</x:v>
      </x:c>
      <x:c r="D31" s="22" t="str">
        <x:v>FR-7.1.2</x:v>
      </x:c>
      <x:c r="E31" s="22" t="str">
        <x:v>Reschedule with only 2 hours left</x:v>
      </x:c>
      <x:c r="F31" s="22" t="str">
        <x:v>JSON + CSV</x:v>
      </x:c>
      <x:c r="G31" s="22" t="str">
        <x:v>PASS / PASS</x:v>
      </x:c>
      <x:c r="H31" s="22" t="str">
        <x:v>09_Data_Driven_Testing/input/test_cases_input.json</x:v>
      </x:c>
      <x:c r="I31" s="22" t="str">
        <x:v>09_Data_Driven_Testing/results/json_all_actual_results.json</x:v>
      </x:c>
      <x:c r="J31" s="22" t="str">
        <x:v>09_Data_Driven_Testing/results/csv_all_comparison.csv</x:v>
      </x:c>
      <x:c r="K31" s="22" t="str">
        <x:v>PROTOTYPE ONLY</x:v>
      </x:c>
    </x:row>
    <x:row r="32" ht="30" customHeight="1">
      <x:c r="A32" s="22" t="str">
        <x:v>TC-029</x:v>
      </x:c>
      <x:c r="B32" s="22" t="str">
        <x:v>SC-07</x:v>
      </x:c>
      <x:c r="C32" s="22" t="str">
        <x:v>UC-07</x:v>
      </x:c>
      <x:c r="D32" s="22" t="str">
        <x:v>FR-7.1.2</x:v>
      </x:c>
      <x:c r="E32" s="22" t="str">
        <x:v>Reschedule to a full slot</x:v>
      </x:c>
      <x:c r="F32" s="22" t="str">
        <x:v>JSON + CSV</x:v>
      </x:c>
      <x:c r="G32" s="22" t="str">
        <x:v>PASS / PASS</x:v>
      </x:c>
      <x:c r="H32" s="22" t="str">
        <x:v>09_Data_Driven_Testing/input/test_cases_input.json</x:v>
      </x:c>
      <x:c r="I32" s="22" t="str">
        <x:v>09_Data_Driven_Testing/results/json_all_actual_results.json</x:v>
      </x:c>
      <x:c r="J32" s="22" t="str">
        <x:v>09_Data_Driven_Testing/results/csv_all_comparison.csv</x:v>
      </x:c>
      <x:c r="K32" s="22" t="str">
        <x:v>PROTOTYPE ONLY</x:v>
      </x:c>
    </x:row>
    <x:row r="33" ht="30" customHeight="1">
      <x:c r="A33" s="22" t="str">
        <x:v>TC-030</x:v>
      </x:c>
      <x:c r="B33" s="22" t="str">
        <x:v>SC-06</x:v>
      </x:c>
      <x:c r="C33" s="22" t="str">
        <x:v>UC-07</x:v>
      </x:c>
      <x:c r="D33" s="22" t="str">
        <x:v>FR-7.1.2</x:v>
      </x:c>
      <x:c r="E33" s="22" t="str">
        <x:v>Mid-transaction rescheduling failure</x:v>
      </x:c>
      <x:c r="F33" s="22" t="str">
        <x:v>JSON + CSV</x:v>
      </x:c>
      <x:c r="G33" s="22" t="str">
        <x:v>PASS / PASS</x:v>
      </x:c>
      <x:c r="H33" s="22" t="str">
        <x:v>09_Data_Driven_Testing/input/test_cases_input.json</x:v>
      </x:c>
      <x:c r="I33" s="22" t="str">
        <x:v>09_Data_Driven_Testing/results/json_all_actual_results.json</x:v>
      </x:c>
      <x:c r="J33" s="22" t="str">
        <x:v>09_Data_Driven_Testing/results/csv_all_comparison.csv</x:v>
      </x:c>
      <x:c r="K33" s="22" t="str">
        <x:v>PROTOTYPE ONLY</x:v>
      </x:c>
    </x:row>
    <x:row r="34" ht="30" customHeight="1">
      <x:c r="A34" s="22" t="str">
        <x:v>TC-031</x:v>
      </x:c>
      <x:c r="B34" s="22" t="str">
        <x:v>SC-08</x:v>
      </x:c>
      <x:c r="C34" s="22" t="str">
        <x:v>UC-08</x:v>
      </x:c>
      <x:c r="D34" s="22" t="str">
        <x:v>FR-8.1.1</x:v>
      </x:c>
      <x:c r="E34" s="22" t="str">
        <x:v>Check in a Confirmed appointment</x:v>
      </x:c>
      <x:c r="F34" s="22" t="str">
        <x:v>JSON + CSV</x:v>
      </x:c>
      <x:c r="G34" s="22" t="str">
        <x:v>PASS / PASS</x:v>
      </x:c>
      <x:c r="H34" s="22" t="str">
        <x:v>09_Data_Driven_Testing/input/test_cases_input.json</x:v>
      </x:c>
      <x:c r="I34" s="22" t="str">
        <x:v>09_Data_Driven_Testing/results/json_all_actual_results.json</x:v>
      </x:c>
      <x:c r="J34" s="22" t="str">
        <x:v>09_Data_Driven_Testing/results/csv_all_comparison.csv</x:v>
      </x:c>
      <x:c r="K34" s="22" t="str">
        <x:v>PROTOTYPE ONLY</x:v>
      </x:c>
    </x:row>
    <x:row r="35" ht="30" customHeight="1">
      <x:c r="A35" s="22" t="str">
        <x:v>TC-032</x:v>
      </x:c>
      <x:c r="B35" s="22" t="str">
        <x:v>SC-10</x:v>
      </x:c>
      <x:c r="C35" s="22" t="str">
        <x:v>UC-08</x:v>
      </x:c>
      <x:c r="D35" s="22" t="str">
        <x:v>FR-8.1.2</x:v>
      </x:c>
      <x:c r="E35" s="22" t="str">
        <x:v>Check in a Cancelled appointment</x:v>
      </x:c>
      <x:c r="F35" s="22" t="str">
        <x:v>JSON + CSV</x:v>
      </x:c>
      <x:c r="G35" s="22" t="str">
        <x:v>PASS / PASS</x:v>
      </x:c>
      <x:c r="H35" s="22" t="str">
        <x:v>09_Data_Driven_Testing/input/test_cases_input.json</x:v>
      </x:c>
      <x:c r="I35" s="22" t="str">
        <x:v>09_Data_Driven_Testing/results/json_all_actual_results.json</x:v>
      </x:c>
      <x:c r="J35" s="22" t="str">
        <x:v>09_Data_Driven_Testing/results/csv_all_comparison.csv</x:v>
      </x:c>
      <x:c r="K35" s="22" t="str">
        <x:v>PROTOTYPE ONLY</x:v>
      </x:c>
    </x:row>
    <x:row r="36" ht="30" customHeight="1">
      <x:c r="A36" s="22" t="str">
        <x:v>TC-033</x:v>
      </x:c>
      <x:c r="B36" s="22" t="str">
        <x:v>SC-08</x:v>
      </x:c>
      <x:c r="C36" s="22" t="str">
        <x:v>UC-08</x:v>
      </x:c>
      <x:c r="D36" s="22" t="str">
        <x:v>FR-8.1.2</x:v>
      </x:c>
      <x:c r="E36" s="22" t="str">
        <x:v>Repeated check-in</x:v>
      </x:c>
      <x:c r="F36" s="22" t="str">
        <x:v>JSON + CSV</x:v>
      </x:c>
      <x:c r="G36" s="22" t="str">
        <x:v>PASS / PASS</x:v>
      </x:c>
      <x:c r="H36" s="22" t="str">
        <x:v>09_Data_Driven_Testing/input/test_cases_input.json</x:v>
      </x:c>
      <x:c r="I36" s="22" t="str">
        <x:v>09_Data_Driven_Testing/results/json_all_actual_results.json</x:v>
      </x:c>
      <x:c r="J36" s="22" t="str">
        <x:v>09_Data_Driven_Testing/results/csv_all_comparison.csv</x:v>
      </x:c>
      <x:c r="K36" s="22" t="str">
        <x:v>PROTOTYPE ONLY</x:v>
      </x:c>
    </x:row>
    <x:row r="37" ht="30" customHeight="1">
      <x:c r="A37" s="22" t="str">
        <x:v>TC-034</x:v>
      </x:c>
      <x:c r="B37" s="22" t="str">
        <x:v>SC-08</x:v>
      </x:c>
      <x:c r="C37" s="22" t="str">
        <x:v>UC-08</x:v>
      </x:c>
      <x:c r="D37" s="22" t="str">
        <x:v>FR-8.1.2</x:v>
      </x:c>
      <x:c r="E37" s="22" t="str">
        <x:v>Unknown appointment ID</x:v>
      </x:c>
      <x:c r="F37" s="22" t="str">
        <x:v>JSON + CSV</x:v>
      </x:c>
      <x:c r="G37" s="22" t="str">
        <x:v>PASS / PASS</x:v>
      </x:c>
      <x:c r="H37" s="22" t="str">
        <x:v>09_Data_Driven_Testing/input/test_cases_input.json</x:v>
      </x:c>
      <x:c r="I37" s="22" t="str">
        <x:v>09_Data_Driven_Testing/results/json_all_actual_results.json</x:v>
      </x:c>
      <x:c r="J37" s="22" t="str">
        <x:v>09_Data_Driven_Testing/results/csv_all_comparison.csv</x:v>
      </x:c>
      <x:c r="K37" s="22" t="str">
        <x:v>PROTOTYPE ONLY</x:v>
      </x:c>
    </x:row>
    <x:row r="38" ht="30" customHeight="1">
      <x:c r="A38" s="22" t="str">
        <x:v>TC-035</x:v>
      </x:c>
      <x:c r="B38" s="22" t="str">
        <x:v>SC-11</x:v>
      </x:c>
      <x:c r="C38" s="22" t="str">
        <x:v>UC-09</x:v>
      </x:c>
      <x:c r="D38" s="22" t="str">
        <x:v>FR-9.1.1</x:v>
      </x:c>
      <x:c r="E38" s="22" t="str">
        <x:v>Doctor views assigned list</x:v>
      </x:c>
      <x:c r="F38" s="22" t="str">
        <x:v>JSON + CSV</x:v>
      </x:c>
      <x:c r="G38" s="22" t="str">
        <x:v>PASS / PASS</x:v>
      </x:c>
      <x:c r="H38" s="22" t="str">
        <x:v>09_Data_Driven_Testing/input/test_cases_input.json</x:v>
      </x:c>
      <x:c r="I38" s="22" t="str">
        <x:v>09_Data_Driven_Testing/results/json_all_actual_results.json</x:v>
      </x:c>
      <x:c r="J38" s="22" t="str">
        <x:v>09_Data_Driven_Testing/results/csv_all_comparison.csv</x:v>
      </x:c>
      <x:c r="K38" s="22" t="str">
        <x:v>PROTOTYPE ONLY</x:v>
      </x:c>
    </x:row>
    <x:row r="39" ht="30" customHeight="1">
      <x:c r="A39" s="22" t="str">
        <x:v>TC-036</x:v>
      </x:c>
      <x:c r="B39" s="22" t="str">
        <x:v>SC-11</x:v>
      </x:c>
      <x:c r="C39" s="22" t="str">
        <x:v>UC-09</x:v>
      </x:c>
      <x:c r="D39" s="22" t="str">
        <x:v>FR-9.1.1</x:v>
      </x:c>
      <x:c r="E39" s="22" t="str">
        <x:v>Doctor accesses another physician’s list</x:v>
      </x:c>
      <x:c r="F39" s="22" t="str">
        <x:v>JSON + CSV</x:v>
      </x:c>
      <x:c r="G39" s="22" t="str">
        <x:v>PASS / PASS</x:v>
      </x:c>
      <x:c r="H39" s="22" t="str">
        <x:v>09_Data_Driven_Testing/input/test_cases_input.json</x:v>
      </x:c>
      <x:c r="I39" s="22" t="str">
        <x:v>09_Data_Driven_Testing/results/json_all_actual_results.json</x:v>
      </x:c>
      <x:c r="J39" s="22" t="str">
        <x:v>09_Data_Driven_Testing/results/csv_all_comparison.csv</x:v>
      </x:c>
      <x:c r="K39" s="22" t="str">
        <x:v>PROTOTYPE ONLY</x:v>
      </x:c>
    </x:row>
    <x:row r="40" ht="30" customHeight="1">
      <x:c r="A40" s="22" t="str">
        <x:v>TC-037</x:v>
      </x:c>
      <x:c r="B40" s="22" t="str">
        <x:v>SC-11</x:v>
      </x:c>
      <x:c r="C40" s="22" t="str">
        <x:v>UC-09</x:v>
      </x:c>
      <x:c r="D40" s="22" t="str">
        <x:v>FR-9.1.2</x:v>
      </x:c>
      <x:c r="E40" s="22" t="str">
        <x:v>Begin consultation in valid status</x:v>
      </x:c>
      <x:c r="F40" s="22" t="str">
        <x:v>JSON + CSV</x:v>
      </x:c>
      <x:c r="G40" s="22" t="str">
        <x:v>PASS / PASS</x:v>
      </x:c>
      <x:c r="H40" s="22" t="str">
        <x:v>09_Data_Driven_Testing/input/test_cases_input.json</x:v>
      </x:c>
      <x:c r="I40" s="22" t="str">
        <x:v>09_Data_Driven_Testing/results/json_all_actual_results.json</x:v>
      </x:c>
      <x:c r="J40" s="22" t="str">
        <x:v>09_Data_Driven_Testing/results/csv_all_comparison.csv</x:v>
      </x:c>
      <x:c r="K40" s="22" t="str">
        <x:v>PROTOTYPE ONLY</x:v>
      </x:c>
    </x:row>
    <x:row r="41" ht="30" customHeight="1">
      <x:c r="A41" s="22" t="str">
        <x:v>TC-038</x:v>
      </x:c>
      <x:c r="B41" s="22" t="str">
        <x:v>SC-11</x:v>
      </x:c>
      <x:c r="C41" s="22" t="str">
        <x:v>UC-09</x:v>
      </x:c>
      <x:c r="D41" s="22" t="str">
        <x:v>FR-9.1.2</x:v>
      </x:c>
      <x:c r="E41" s="22" t="str">
        <x:v>Begin consultation before check-in</x:v>
      </x:c>
      <x:c r="F41" s="22" t="str">
        <x:v>JSON + CSV</x:v>
      </x:c>
      <x:c r="G41" s="22" t="str">
        <x:v>PASS / PASS</x:v>
      </x:c>
      <x:c r="H41" s="22" t="str">
        <x:v>09_Data_Driven_Testing/input/test_cases_input.json</x:v>
      </x:c>
      <x:c r="I41" s="22" t="str">
        <x:v>09_Data_Driven_Testing/results/json_all_actual_results.json</x:v>
      </x:c>
      <x:c r="J41" s="22" t="str">
        <x:v>09_Data_Driven_Testing/results/csv_all_comparison.csv</x:v>
      </x:c>
      <x:c r="K41" s="22" t="str">
        <x:v>PROTOTYPE ONLY</x:v>
      </x:c>
    </x:row>
    <x:row r="42" ht="30" customHeight="1">
      <x:c r="A42" s="22" t="str">
        <x:v>TC-039</x:v>
      </x:c>
      <x:c r="B42" s="22" t="str">
        <x:v>SC-11</x:v>
      </x:c>
      <x:c r="C42" s="22" t="str">
        <x:v>UC-09</x:v>
      </x:c>
      <x:c r="D42" s="22" t="str">
        <x:v>FR-9.1.3</x:v>
      </x:c>
      <x:c r="E42" s="22" t="str">
        <x:v>Complete consultation</x:v>
      </x:c>
      <x:c r="F42" s="22" t="str">
        <x:v>JSON + CSV</x:v>
      </x:c>
      <x:c r="G42" s="22" t="str">
        <x:v>PASS / PASS</x:v>
      </x:c>
      <x:c r="H42" s="22" t="str">
        <x:v>09_Data_Driven_Testing/input/test_cases_input.json</x:v>
      </x:c>
      <x:c r="I42" s="22" t="str">
        <x:v>09_Data_Driven_Testing/results/json_all_actual_results.json</x:v>
      </x:c>
      <x:c r="J42" s="22" t="str">
        <x:v>09_Data_Driven_Testing/results/csv_all_comparison.csv</x:v>
      </x:c>
      <x:c r="K42" s="22" t="str">
        <x:v>PROTOTYPE ONLY</x:v>
      </x:c>
    </x:row>
    <x:row r="43" ht="30" customHeight="1">
      <x:c r="A43" s="22" t="str">
        <x:v>TC-040</x:v>
      </x:c>
      <x:c r="B43" s="22" t="str">
        <x:v>SC-18</x:v>
      </x:c>
      <x:c r="C43" s="22" t="str">
        <x:v>UC-10</x:v>
      </x:c>
      <x:c r="D43" s="22" t="str">
        <x:v>FR-10.1.1</x:v>
      </x:c>
      <x:c r="E43" s="22" t="str">
        <x:v>Create an eligible slot</x:v>
      </x:c>
      <x:c r="F43" s="22" t="str">
        <x:v>JSON + CSV</x:v>
      </x:c>
      <x:c r="G43" s="22" t="str">
        <x:v>PASS / PASS</x:v>
      </x:c>
      <x:c r="H43" s="22" t="str">
        <x:v>09_Data_Driven_Testing/input/test_cases_input.json</x:v>
      </x:c>
      <x:c r="I43" s="22" t="str">
        <x:v>09_Data_Driven_Testing/results/json_all_actual_results.json</x:v>
      </x:c>
      <x:c r="J43" s="22" t="str">
        <x:v>09_Data_Driven_Testing/results/csv_all_comparison.csv</x:v>
      </x:c>
      <x:c r="K43" s="22" t="str">
        <x:v>PROTOTYPE ONLY</x:v>
      </x:c>
    </x:row>
    <x:row r="44" ht="30" customHeight="1">
      <x:c r="A44" s="22" t="str">
        <x:v>TC-041</x:v>
      </x:c>
      <x:c r="B44" s="22" t="str">
        <x:v>SC-18</x:v>
      </x:c>
      <x:c r="C44" s="22" t="str">
        <x:v>UC-10</x:v>
      </x:c>
      <x:c r="D44" s="22" t="str">
        <x:v>FR-10.1.1</x:v>
      </x:c>
      <x:c r="E44" s="22" t="str">
        <x:v>Create overlapping doctor slot</x:v>
      </x:c>
      <x:c r="F44" s="22" t="str">
        <x:v>JSON + CSV</x:v>
      </x:c>
      <x:c r="G44" s="22" t="str">
        <x:v>PASS / PASS</x:v>
      </x:c>
      <x:c r="H44" s="22" t="str">
        <x:v>09_Data_Driven_Testing/input/test_cases_input.json</x:v>
      </x:c>
      <x:c r="I44" s="22" t="str">
        <x:v>09_Data_Driven_Testing/results/json_all_actual_results.json</x:v>
      </x:c>
      <x:c r="J44" s="22" t="str">
        <x:v>09_Data_Driven_Testing/results/csv_all_comparison.csv</x:v>
      </x:c>
      <x:c r="K44" s="22" t="str">
        <x:v>PROTOTYPE ONLY</x:v>
      </x:c>
    </x:row>
    <x:row r="45" ht="30" customHeight="1">
      <x:c r="A45" s="22" t="str">
        <x:v>TC-042</x:v>
      </x:c>
      <x:c r="B45" s="22" t="str">
        <x:v>SC-09</x:v>
      </x:c>
      <x:c r="C45" s="22" t="str">
        <x:v>UC-10</x:v>
      </x:c>
      <x:c r="D45" s="22" t="str">
        <x:v>FR-10.1.2</x:v>
      </x:c>
      <x:c r="E45" s="22" t="str">
        <x:v>Unexpected doctor absence</x:v>
      </x:c>
      <x:c r="F45" s="22" t="str">
        <x:v>JSON + CSV</x:v>
      </x:c>
      <x:c r="G45" s="22" t="str">
        <x:v>PASS / PASS</x:v>
      </x:c>
      <x:c r="H45" s="22" t="str">
        <x:v>09_Data_Driven_Testing/input/test_cases_input.json</x:v>
      </x:c>
      <x:c r="I45" s="22" t="str">
        <x:v>09_Data_Driven_Testing/results/json_all_actual_results.json</x:v>
      </x:c>
      <x:c r="J45" s="22" t="str">
        <x:v>09_Data_Driven_Testing/results/csv_all_comparison.csv</x:v>
      </x:c>
      <x:c r="K45" s="22" t="str">
        <x:v>PROTOTYPE ONLY</x:v>
      </x:c>
    </x:row>
    <x:row r="46" ht="30" customHeight="1">
      <x:c r="A46" s="22" t="str">
        <x:v>TC-043</x:v>
      </x:c>
      <x:c r="B46" s="22" t="str">
        <x:v>SC-18</x:v>
      </x:c>
      <x:c r="C46" s="22" t="str">
        <x:v>UC-10</x:v>
      </x:c>
      <x:c r="D46" s="22" t="str">
        <x:v>FR-10.1.3</x:v>
      </x:c>
      <x:c r="E46" s="22" t="str">
        <x:v>Audit physician schedule update</x:v>
      </x:c>
      <x:c r="F46" s="22" t="str">
        <x:v>JSON + CSV</x:v>
      </x:c>
      <x:c r="G46" s="22" t="str">
        <x:v>PASS / PASS</x:v>
      </x:c>
      <x:c r="H46" s="22" t="str">
        <x:v>09_Data_Driven_Testing/input/test_cases_input.json</x:v>
      </x:c>
      <x:c r="I46" s="22" t="str">
        <x:v>09_Data_Driven_Testing/results/json_all_actual_results.json</x:v>
      </x:c>
      <x:c r="J46" s="22" t="str">
        <x:v>09_Data_Driven_Testing/results/csv_all_comparison.csv</x:v>
      </x:c>
      <x:c r="K46" s="22" t="str">
        <x:v>PROTOTYPE ONLY</x:v>
      </x:c>
    </x:row>
    <x:row r="47" ht="30" customHeight="1">
      <x:c r="A47" s="22" t="str">
        <x:v>TC-044</x:v>
      </x:c>
      <x:c r="B47" s="22" t="str">
        <x:v>SC-01</x:v>
      </x:c>
      <x:c r="C47" s="22" t="str">
        <x:v>UC-11</x:v>
      </x:c>
      <x:c r="D47" s="22" t="str">
        <x:v>FR-11.1.1</x:v>
      </x:c>
      <x:c r="E47" s="22" t="str">
        <x:v>Booking produces an outbox event</x:v>
      </x:c>
      <x:c r="F47" s="22" t="str">
        <x:v>JSON + CSV</x:v>
      </x:c>
      <x:c r="G47" s="22" t="str">
        <x:v>PASS / PASS</x:v>
      </x:c>
      <x:c r="H47" s="22" t="str">
        <x:v>09_Data_Driven_Testing/input/test_cases_input.json</x:v>
      </x:c>
      <x:c r="I47" s="22" t="str">
        <x:v>09_Data_Driven_Testing/results/json_all_actual_results.json</x:v>
      </x:c>
      <x:c r="J47" s="22" t="str">
        <x:v>09_Data_Driven_Testing/results/csv_all_comparison.csv</x:v>
      </x:c>
      <x:c r="K47" s="22" t="str">
        <x:v>PROTOTYPE ONLY</x:v>
      </x:c>
    </x:row>
    <x:row r="48" ht="30" customHeight="1">
      <x:c r="A48" s="22" t="str">
        <x:v>TC-045</x:v>
      </x:c>
      <x:c r="B48" s="22" t="str">
        <x:v>SC-04</x:v>
      </x:c>
      <x:c r="C48" s="22" t="str">
        <x:v>UC-11</x:v>
      </x:c>
      <x:c r="D48" s="22" t="str">
        <x:v>FR-11.1.1</x:v>
      </x:c>
      <x:c r="E48" s="22" t="str">
        <x:v>Cancellation produces an outbox event</x:v>
      </x:c>
      <x:c r="F48" s="22" t="str">
        <x:v>JSON + CSV</x:v>
      </x:c>
      <x:c r="G48" s="22" t="str">
        <x:v>PASS / PASS</x:v>
      </x:c>
      <x:c r="H48" s="22" t="str">
        <x:v>09_Data_Driven_Testing/input/test_cases_input.json</x:v>
      </x:c>
      <x:c r="I48" s="22" t="str">
        <x:v>09_Data_Driven_Testing/results/json_all_actual_results.json</x:v>
      </x:c>
      <x:c r="J48" s="22" t="str">
        <x:v>09_Data_Driven_Testing/results/csv_all_comparison.csv</x:v>
      </x:c>
      <x:c r="K48" s="22" t="str">
        <x:v>PROTOTYPE ONLY</x:v>
      </x:c>
    </x:row>
    <x:row r="49" ht="30" customHeight="1">
      <x:c r="A49" s="22" t="str">
        <x:v>TC-046</x:v>
      </x:c>
      <x:c r="B49" s="22" t="str">
        <x:v>SC-12</x:v>
      </x:c>
      <x:c r="C49" s="22" t="str">
        <x:v>UC-11</x:v>
      </x:c>
      <x:c r="D49" s="22" t="str">
        <x:v>FR-11.1.2</x:v>
      </x:c>
      <x:c r="E49" s="22" t="str">
        <x:v>Provider fails to deliver a notification</x:v>
      </x:c>
      <x:c r="F49" s="22" t="str">
        <x:v>JSON + CSV</x:v>
      </x:c>
      <x:c r="G49" s="22" t="str">
        <x:v>PASS / PASS</x:v>
      </x:c>
      <x:c r="H49" s="22" t="str">
        <x:v>09_Data_Driven_Testing/input/test_cases_input.json</x:v>
      </x:c>
      <x:c r="I49" s="22" t="str">
        <x:v>09_Data_Driven_Testing/results/json_all_actual_results.json</x:v>
      </x:c>
      <x:c r="J49" s="22" t="str">
        <x:v>09_Data_Driven_Testing/results/csv_all_comparison.csv</x:v>
      </x:c>
      <x:c r="K49" s="22" t="str">
        <x:v>PROTOTYPE ONLY</x:v>
      </x:c>
    </x:row>
    <x:row r="50" ht="30" customHeight="1">
      <x:c r="A50" s="22" t="str">
        <x:v>TC-047</x:v>
      </x:c>
      <x:c r="B50" s="22" t="str">
        <x:v>SC-12</x:v>
      </x:c>
      <x:c r="C50" s="22" t="str">
        <x:v>UC-11</x:v>
      </x:c>
      <x:c r="D50" s="22" t="str">
        <x:v>FR-11.1.2</x:v>
      </x:c>
      <x:c r="E50" s="22" t="str">
        <x:v>Provider retries an event</x:v>
      </x:c>
      <x:c r="F50" s="22" t="str">
        <x:v>JSON + CSV</x:v>
      </x:c>
      <x:c r="G50" s="22" t="str">
        <x:v>PASS / PASS</x:v>
      </x:c>
      <x:c r="H50" s="22" t="str">
        <x:v>09_Data_Driven_Testing/input/test_cases_input.json</x:v>
      </x:c>
      <x:c r="I50" s="22" t="str">
        <x:v>09_Data_Driven_Testing/results/json_all_actual_results.json</x:v>
      </x:c>
      <x:c r="J50" s="22" t="str">
        <x:v>09_Data_Driven_Testing/results/csv_all_comparison.csv</x:v>
      </x:c>
      <x:c r="K50" s="22" t="str">
        <x:v>PROTOTYPE ONLY</x:v>
      </x:c>
    </x:row>
    <x:row r="51" ht="30" customHeight="1">
      <x:c r="A51" s="22" t="str">
        <x:v>TC-048</x:v>
      </x:c>
      <x:c r="B51" s="22" t="str">
        <x:v>SC-14</x:v>
      </x:c>
      <x:c r="C51" s="22" t="str">
        <x:v>UC-12</x:v>
      </x:c>
      <x:c r="D51" s="22" t="str">
        <x:v>FR-12.1.1</x:v>
      </x:c>
      <x:c r="E51" s="22" t="str">
        <x:v>Correct appointment status summary</x:v>
      </x:c>
      <x:c r="F51" s="22" t="str">
        <x:v>JSON + CSV</x:v>
      </x:c>
      <x:c r="G51" s="22" t="str">
        <x:v>PASS / PASS</x:v>
      </x:c>
      <x:c r="H51" s="22" t="str">
        <x:v>09_Data_Driven_Testing/input/test_cases_input.json</x:v>
      </x:c>
      <x:c r="I51" s="22" t="str">
        <x:v>09_Data_Driven_Testing/results/json_all_actual_results.json</x:v>
      </x:c>
      <x:c r="J51" s="22" t="str">
        <x:v>09_Data_Driven_Testing/results/csv_all_comparison.csv</x:v>
      </x:c>
      <x:c r="K51" s="22" t="str">
        <x:v>PROTOTYPE ONLY</x:v>
      </x:c>
    </x:row>
    <x:row r="52" ht="30" customHeight="1">
      <x:c r="A52" s="22" t="str">
        <x:v>TC-049</x:v>
      </x:c>
      <x:c r="B52" s="22" t="str">
        <x:v>SC-14</x:v>
      </x:c>
      <x:c r="C52" s="22" t="str">
        <x:v>UC-12</x:v>
      </x:c>
      <x:c r="D52" s="22" t="str">
        <x:v>FR-12.1.2</x:v>
      </x:c>
      <x:c r="E52" s="22" t="str">
        <x:v>Audit fields are present</x:v>
      </x:c>
      <x:c r="F52" s="22" t="str">
        <x:v>JSON + CSV</x:v>
      </x:c>
      <x:c r="G52" s="22" t="str">
        <x:v>PASS / PASS</x:v>
      </x:c>
      <x:c r="H52" s="22" t="str">
        <x:v>09_Data_Driven_Testing/input/test_cases_input.json</x:v>
      </x:c>
      <x:c r="I52" s="22" t="str">
        <x:v>09_Data_Driven_Testing/results/json_all_actual_results.json</x:v>
      </x:c>
      <x:c r="J52" s="22" t="str">
        <x:v>09_Data_Driven_Testing/results/csv_all_comparison.csv</x:v>
      </x:c>
      <x:c r="K52" s="22" t="str">
        <x:v>PROTOTYPE ONLY</x:v>
      </x:c>
    </x:row>
    <x:row r="53" ht="30" customHeight="1">
      <x:c r="A53" s="22" t="str">
        <x:v>TC-050</x:v>
      </x:c>
      <x:c r="B53" s="22" t="str">
        <x:v>SC-13</x:v>
      </x:c>
      <x:c r="C53" s="22" t="str">
        <x:v>UC-12</x:v>
      </x:c>
      <x:c r="D53" s="22" t="str">
        <x:v>FR-12.1.3</x:v>
      </x:c>
      <x:c r="E53" s="22" t="str">
        <x:v>Patient requests an administrative report</x:v>
      </x:c>
      <x:c r="F53" s="22" t="str">
        <x:v>JSON + CSV</x:v>
      </x:c>
      <x:c r="G53" s="22" t="str">
        <x:v>PASS / PASS</x:v>
      </x:c>
      <x:c r="H53" s="22" t="str">
        <x:v>09_Data_Driven_Testing/input/test_cases_input.json</x:v>
      </x:c>
      <x:c r="I53" s="22" t="str">
        <x:v>09_Data_Driven_Testing/results/json_all_actual_results.json</x:v>
      </x:c>
      <x:c r="J53" s="22" t="str">
        <x:v>09_Data_Driven_Testing/results/csv_all_comparison.csv</x:v>
      </x:c>
      <x:c r="K53" s="22" t="str">
        <x:v>PROTOTYPE ONLY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</x:cols>
  <x:sheetData>
    <x:row r="1" ht="35" customHeight="1">
      <x:c r="A1" s="4" t="str">
        <x:v>HOAS | 34_Trace_Health</x:v>
      </x:c>
      <x:c r="B1" s="4"/>
      <x:c r="C1" s="4"/>
    </x:row>
    <x:row r="2" ht="30" customHeight="1">
      <x:c r="A2" s="10"/>
      <x:c r="B2" s="10"/>
      <x:c r="C2" s="10"/>
    </x:row>
    <x:row r="3" ht="38" customHeight="1">
      <x:c r="A3" s="27" t="str">
        <x:v>Business scenarios</x:v>
      </x:c>
      <x:c r="B3" s="27" t="n">
        <x:f>COUNTA('02_Scenarios'!A4:A300)</x:f>
        <x:v>18</x:v>
      </x:c>
      <x:c r="C3" s="27" t="str">
        <x:v>18 after gap-filling scenarios</x:v>
      </x:c>
    </x:row>
    <x:row r="4" ht="30" customHeight="1">
      <x:c r="A4" s="22" t="str">
        <x:v>Functional requirements</x:v>
      </x:c>
      <x:c r="B4" s="22" t="n">
        <x:f>COUNTA('03_Requirements'!A4:A300)</x:f>
        <x:v>30</x:v>
      </x:c>
      <x:c r="C4" s="22" t="str">
        <x:v>Original FR IDs retained</x:v>
      </x:c>
    </x:row>
    <x:row r="5" ht="30" customHeight="1">
      <x:c r="A5" s="22" t="str">
        <x:v>Business rules</x:v>
      </x:c>
      <x:c r="B5" s="22" t="n">
        <x:f>COUNTA('04_BusinessRules'!A4:A300)</x:f>
        <x:v>12</x:v>
      </x:c>
      <x:c r="C5" s="22" t="str">
        <x:v>Original BR IDs retained</x:v>
      </x:c>
    </x:row>
    <x:row r="6" ht="30" customHeight="1">
      <x:c r="A6" s="22" t="str">
        <x:v>Use cases</x:v>
      </x:c>
      <x:c r="B6" s="22" t="n">
        <x:f>COUNTA('05_UseCases'!A4:A300)</x:f>
        <x:v>12</x:v>
      </x:c>
      <x:c r="C6" s="22" t="str">
        <x:v>All 12 represented in scenario links</x:v>
      </x:c>
    </x:row>
    <x:row r="7" ht="30" customHeight="1">
      <x:c r="A7" s="22" t="str">
        <x:v>Quality requirements</x:v>
      </x:c>
      <x:c r="B7" s="22" t="n">
        <x:f>COUNTA('06_NFR'!A4:A300)</x:f>
        <x:v>10</x:v>
      </x:c>
      <x:c r="C7" s="22" t="str">
        <x:v>NFR targets are proposed, not benchmark-verified</x:v>
      </x:c>
    </x:row>
    <x:row r="8" ht="30" customHeight="1">
      <x:c r="A8" s="22" t="str">
        <x:v>Hazards</x:v>
      </x:c>
      <x:c r="B8" s="22" t="n">
        <x:f>COUNTA('07_Hazards'!A4:A300)</x:f>
        <x:v>6</x:v>
      </x:c>
      <x:c r="C8" s="22" t="str">
        <x:v>Residual operational risk noted</x:v>
      </x:c>
    </x:row>
    <x:row r="9" ht="30" customHeight="1">
      <x:c r="A9" s="22" t="str">
        <x:v>Data-driven cases</x:v>
      </x:c>
      <x:c r="B9" s="22" t="n">
        <x:f>COUNTA('31_TC_Execution_Flow'!G4:G300)</x:f>
        <x:v>50</x:v>
      </x:c>
      <x:c r="C9" s="22" t="str">
        <x:v>All 50 map to SC/FR/UC/input</x:v>
      </x:c>
    </x:row>
    <x:row r="10" ht="30" customHeight="1">
      <x:c r="A10" s="22" t="str">
        <x:v>JSON prototype PASS</x:v>
      </x:c>
      <x:c r="B10" s="22" t="n">
        <x:f>COUNTIF('33_Data_Test_Evidence'!G4:G300,"PASS / PASS")</x:f>
        <x:v>50</x:v>
      </x:c>
      <x:c r="C10" s="22" t="str">
        <x:v>Prototype-only JSON successes (same 50 cases)</x:v>
      </x:c>
    </x:row>
    <x:row r="11" ht="30" customHeight="1">
      <x:c r="A11" s="22" t="str">
        <x:v>CSV prototype PASS</x:v>
      </x:c>
      <x:c r="B11" s="22" t="n">
        <x:f>COUNTIF('33_Data_Test_Evidence'!G4:G300,"PASS / PASS")</x:f>
        <x:v>50</x:v>
      </x:c>
      <x:c r="C11" s="22" t="str">
        <x:v>Prototype-only CSV successes (same 50 cases)</x:v>
      </x:c>
    </x:row>
    <x:row r="12" ht="30" customHeight="1">
      <x:c r="A12" s="22"/>
      <x:c r="B12" s="22"/>
      <x:c r="C12" s="22"/>
    </x:row>
    <x:row r="13" ht="30" customHeight="1">
      <x:c r="A13" s="22"/>
      <x:c r="B13" s="22"/>
      <x:c r="C13" s="22"/>
    </x:row>
    <x:row r="14" ht="30" customHeight="1">
      <x:c r="A14" s="22" t="str">
        <x:v>CAUTION</x:v>
      </x:c>
      <x:c r="B14" s="22" t="str">
        <x:v>This dashboard records educational test evidence only; it is not a deployed system certification.</x:v>
      </x:c>
      <x:c r="C14" s="22"/>
    </x:row>
  </x:sheetData>
  <x:mergeCells>
    <x:mergeCell ref="A1:C1"/>
    <x:mergeCell ref="A2:C2"/>
  </x:mergeCells>
  <x:pageMargins left="0.7" right="0.7" top="0.75" bottom="0.75" header="0.3" footer="0.3"/>
</x:worksheet>
</file>